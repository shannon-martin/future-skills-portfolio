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univ-my.sharepoint.com/personal/zw195241_ou_ac_uk/Documents/"/>
    </mc:Choice>
  </mc:AlternateContent>
  <xr:revisionPtr revIDLastSave="405" documentId="8_{E0B1C6E2-FCA4-4053-A60A-205F4412C8D5}" xr6:coauthVersionLast="47" xr6:coauthVersionMax="47" xr10:uidLastSave="{9B4ED3DF-5793-498E-B8CB-F6ACD3C969AC}"/>
  <bookViews>
    <workbookView xWindow="-120" yWindow="-120" windowWidth="29040" windowHeight="15840" xr2:uid="{31E2511F-E67F-4669-8CA3-57E17AF0155E}"/>
  </bookViews>
  <sheets>
    <sheet name="HousingLandAudit23_24_-70490818" sheetId="1" r:id="rId1"/>
    <sheet name="charts&amp;stats" sheetId="3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B12" i="3"/>
  <c r="B11" i="3"/>
  <c r="E28" i="1"/>
  <c r="E11" i="1"/>
  <c r="E54" i="1"/>
  <c r="E79" i="1"/>
  <c r="E59" i="1"/>
  <c r="E41" i="1"/>
  <c r="E94" i="1"/>
  <c r="E52" i="1"/>
  <c r="E65" i="1"/>
  <c r="E89" i="1"/>
  <c r="E51" i="1"/>
  <c r="E129" i="1"/>
  <c r="E130" i="1"/>
  <c r="E23" i="1"/>
  <c r="E63" i="1"/>
  <c r="E102" i="1"/>
  <c r="E2" i="1"/>
  <c r="E6" i="1"/>
  <c r="E24" i="1"/>
  <c r="E16" i="1"/>
  <c r="E100" i="1"/>
  <c r="E131" i="1"/>
  <c r="E132" i="1"/>
  <c r="E133" i="1"/>
  <c r="E134" i="1"/>
  <c r="E135" i="1"/>
  <c r="E9" i="1"/>
  <c r="E115" i="1"/>
  <c r="E136" i="1"/>
  <c r="E137" i="1"/>
  <c r="E138" i="1"/>
  <c r="E111" i="1"/>
  <c r="E37" i="1"/>
  <c r="E139" i="1"/>
  <c r="E36" i="1"/>
  <c r="E20" i="1"/>
  <c r="E15" i="1"/>
  <c r="E44" i="1"/>
  <c r="E66" i="1"/>
  <c r="E71" i="1"/>
  <c r="E42" i="1"/>
  <c r="E45" i="1"/>
  <c r="E46" i="1"/>
  <c r="E77" i="1"/>
  <c r="E27" i="1"/>
  <c r="E86" i="1"/>
  <c r="E47" i="1"/>
  <c r="E17" i="1"/>
  <c r="E38" i="1"/>
  <c r="E31" i="1"/>
  <c r="E90" i="1"/>
  <c r="E21" i="1"/>
  <c r="E4" i="1"/>
  <c r="E48" i="1"/>
  <c r="E8" i="1"/>
  <c r="E13" i="1"/>
  <c r="E10" i="1"/>
  <c r="E55" i="1"/>
  <c r="E34" i="1"/>
  <c r="E3" i="1"/>
  <c r="E67" i="1"/>
  <c r="E39" i="1"/>
  <c r="E140" i="1"/>
  <c r="E85" i="1"/>
  <c r="E49" i="1"/>
  <c r="E53" i="1"/>
  <c r="E116" i="1"/>
  <c r="E141" i="1"/>
  <c r="E74" i="1"/>
  <c r="E72" i="1"/>
  <c r="E14" i="1"/>
  <c r="E12" i="1"/>
  <c r="E5" i="1"/>
  <c r="E43" i="1"/>
  <c r="E25" i="1"/>
  <c r="E117" i="1"/>
  <c r="E19" i="1"/>
  <c r="E95" i="1"/>
  <c r="E142" i="1"/>
  <c r="E32" i="1"/>
  <c r="E80" i="1"/>
  <c r="E29" i="1"/>
  <c r="E56" i="1"/>
  <c r="E118" i="1"/>
  <c r="E143" i="1"/>
  <c r="E112" i="1"/>
  <c r="E144" i="1"/>
  <c r="E145" i="1"/>
  <c r="E64" i="1"/>
  <c r="E146" i="1"/>
  <c r="E33" i="1"/>
  <c r="E113" i="1"/>
  <c r="E101" i="1"/>
  <c r="E106" i="1"/>
  <c r="E147" i="1"/>
  <c r="E96" i="1"/>
  <c r="E60" i="1"/>
  <c r="E61" i="1"/>
  <c r="E92" i="1"/>
  <c r="E81" i="1"/>
  <c r="E148" i="1"/>
  <c r="E114" i="1"/>
  <c r="E119" i="1"/>
  <c r="E30" i="1"/>
  <c r="E120" i="1"/>
  <c r="E149" i="1"/>
  <c r="E107" i="1"/>
  <c r="E121" i="1"/>
  <c r="E150" i="1"/>
  <c r="E151" i="1"/>
  <c r="E152" i="1"/>
  <c r="E153" i="1"/>
  <c r="E154" i="1"/>
  <c r="E155" i="1"/>
  <c r="E78" i="1"/>
  <c r="E156" i="1"/>
  <c r="E157" i="1"/>
  <c r="E158" i="1"/>
  <c r="E122" i="1"/>
  <c r="E159" i="1"/>
  <c r="E160" i="1"/>
  <c r="E108" i="1"/>
  <c r="E161" i="1"/>
  <c r="E162" i="1"/>
  <c r="E163" i="1"/>
  <c r="E164" i="1"/>
  <c r="E123" i="1"/>
  <c r="E68" i="1"/>
  <c r="E62" i="1"/>
  <c r="E165" i="1"/>
  <c r="E73" i="1"/>
  <c r="E87" i="1"/>
  <c r="E93" i="1"/>
  <c r="E57" i="1"/>
  <c r="E22" i="1"/>
  <c r="E91" i="1"/>
  <c r="E7" i="1"/>
  <c r="E26" i="1"/>
  <c r="E35" i="1"/>
  <c r="E166" i="1"/>
  <c r="E82" i="1"/>
  <c r="E167" i="1"/>
  <c r="E69" i="1"/>
  <c r="E168" i="1"/>
  <c r="E169" i="1"/>
  <c r="E103" i="1"/>
  <c r="E104" i="1"/>
  <c r="E58" i="1"/>
  <c r="E97" i="1"/>
  <c r="E170" i="1"/>
  <c r="E171" i="1"/>
  <c r="E18" i="1"/>
  <c r="E40" i="1"/>
  <c r="E98" i="1"/>
  <c r="E109" i="1"/>
  <c r="E83" i="1"/>
  <c r="E172" i="1"/>
  <c r="E173" i="1"/>
  <c r="E174" i="1"/>
  <c r="E175" i="1"/>
  <c r="E124" i="1"/>
  <c r="E176" i="1"/>
  <c r="E177" i="1"/>
  <c r="E75" i="1"/>
  <c r="E105" i="1"/>
  <c r="E178" i="1"/>
  <c r="E99" i="1"/>
  <c r="E179" i="1"/>
  <c r="E180" i="1"/>
  <c r="E181" i="1"/>
  <c r="E125" i="1"/>
  <c r="E126" i="1"/>
  <c r="E127" i="1"/>
  <c r="E182" i="1"/>
  <c r="E183" i="1"/>
  <c r="E70" i="1"/>
  <c r="E50" i="1"/>
  <c r="E128" i="1"/>
  <c r="E84" i="1"/>
  <c r="E88" i="1"/>
  <c r="E110" i="1"/>
  <c r="E76" i="1"/>
  <c r="E184" i="1"/>
  <c r="AA28" i="1"/>
  <c r="AA11" i="1"/>
  <c r="AA54" i="1"/>
  <c r="AA79" i="1"/>
  <c r="AA59" i="1"/>
  <c r="AA41" i="1"/>
  <c r="AA94" i="1"/>
  <c r="AA52" i="1"/>
  <c r="AA65" i="1"/>
  <c r="AA89" i="1"/>
  <c r="AA51" i="1"/>
  <c r="AA129" i="1"/>
  <c r="AA130" i="1"/>
  <c r="AA23" i="1"/>
  <c r="AA63" i="1"/>
  <c r="AA102" i="1"/>
  <c r="AA2" i="1"/>
  <c r="B2" i="3" s="1"/>
  <c r="B3" i="3" s="1"/>
  <c r="AA6" i="1"/>
  <c r="AA24" i="1"/>
  <c r="AA16" i="1"/>
  <c r="AA100" i="1"/>
  <c r="AA131" i="1"/>
  <c r="AA132" i="1"/>
  <c r="AA133" i="1"/>
  <c r="AA134" i="1"/>
  <c r="AA135" i="1"/>
  <c r="AA9" i="1"/>
  <c r="AA115" i="1"/>
  <c r="AA136" i="1"/>
  <c r="AA137" i="1"/>
  <c r="AA138" i="1"/>
  <c r="AA111" i="1"/>
  <c r="AA37" i="1"/>
  <c r="AA139" i="1"/>
  <c r="AA36" i="1"/>
  <c r="AA20" i="1"/>
  <c r="AA15" i="1"/>
  <c r="AA44" i="1"/>
  <c r="AA66" i="1"/>
  <c r="AA71" i="1"/>
  <c r="AA42" i="1"/>
  <c r="AA45" i="1"/>
  <c r="AA46" i="1"/>
  <c r="AA77" i="1"/>
  <c r="AA27" i="1"/>
  <c r="AA86" i="1"/>
  <c r="AA47" i="1"/>
  <c r="AA17" i="1"/>
  <c r="AA38" i="1"/>
  <c r="AA31" i="1"/>
  <c r="AA90" i="1"/>
  <c r="AA21" i="1"/>
  <c r="AA4" i="1"/>
  <c r="AA48" i="1"/>
  <c r="AA8" i="1"/>
  <c r="AA13" i="1"/>
  <c r="AA10" i="1"/>
  <c r="AA55" i="1"/>
  <c r="AA34" i="1"/>
  <c r="AA3" i="1"/>
  <c r="AA67" i="1"/>
  <c r="AA39" i="1"/>
  <c r="AA140" i="1"/>
  <c r="AA85" i="1"/>
  <c r="AA49" i="1"/>
  <c r="AA53" i="1"/>
  <c r="AA116" i="1"/>
  <c r="AA141" i="1"/>
  <c r="AA74" i="1"/>
  <c r="AA72" i="1"/>
  <c r="AA14" i="1"/>
  <c r="AA12" i="1"/>
  <c r="AA5" i="1"/>
  <c r="AA43" i="1"/>
  <c r="AA25" i="1"/>
  <c r="AA117" i="1"/>
  <c r="AA19" i="1"/>
  <c r="AA95" i="1"/>
  <c r="AA142" i="1"/>
  <c r="AA32" i="1"/>
  <c r="AA80" i="1"/>
  <c r="AA29" i="1"/>
  <c r="AA56" i="1"/>
  <c r="AA118" i="1"/>
  <c r="AA143" i="1"/>
  <c r="AA112" i="1"/>
  <c r="AA144" i="1"/>
  <c r="AA145" i="1"/>
  <c r="AA64" i="1"/>
  <c r="AA146" i="1"/>
  <c r="AA33" i="1"/>
  <c r="AA113" i="1"/>
  <c r="AA101" i="1"/>
  <c r="AA106" i="1"/>
  <c r="AA147" i="1"/>
  <c r="AA96" i="1"/>
  <c r="AA60" i="1"/>
  <c r="AA61" i="1"/>
  <c r="AA92" i="1"/>
  <c r="AA81" i="1"/>
  <c r="AA148" i="1"/>
  <c r="AA114" i="1"/>
  <c r="AA119" i="1"/>
  <c r="AA30" i="1"/>
  <c r="AA120" i="1"/>
  <c r="AA149" i="1"/>
  <c r="AA107" i="1"/>
  <c r="AA121" i="1"/>
  <c r="AA150" i="1"/>
  <c r="AA151" i="1"/>
  <c r="AA152" i="1"/>
  <c r="AA153" i="1"/>
  <c r="AA154" i="1"/>
  <c r="AA155" i="1"/>
  <c r="AA78" i="1"/>
  <c r="AA156" i="1"/>
  <c r="AA157" i="1"/>
  <c r="AA158" i="1"/>
  <c r="AA122" i="1"/>
  <c r="AA159" i="1"/>
  <c r="AA160" i="1"/>
  <c r="AA108" i="1"/>
  <c r="AA161" i="1"/>
  <c r="AA162" i="1"/>
  <c r="AA163" i="1"/>
  <c r="AA164" i="1"/>
  <c r="AA123" i="1"/>
  <c r="AA68" i="1"/>
  <c r="AA62" i="1"/>
  <c r="AA165" i="1"/>
  <c r="AA73" i="1"/>
  <c r="AA87" i="1"/>
  <c r="AA93" i="1"/>
  <c r="AA57" i="1"/>
  <c r="AA22" i="1"/>
  <c r="AA91" i="1"/>
  <c r="AA7" i="1"/>
  <c r="AA26" i="1"/>
  <c r="AA35" i="1"/>
  <c r="AA166" i="1"/>
  <c r="AA82" i="1"/>
  <c r="AA167" i="1"/>
  <c r="AA69" i="1"/>
  <c r="AA168" i="1"/>
  <c r="AA169" i="1"/>
  <c r="AA103" i="1"/>
  <c r="AA104" i="1"/>
  <c r="AA58" i="1"/>
  <c r="AA97" i="1"/>
  <c r="AA170" i="1"/>
  <c r="AA171" i="1"/>
  <c r="AA18" i="1"/>
  <c r="AA40" i="1"/>
  <c r="AA98" i="1"/>
  <c r="AA109" i="1"/>
  <c r="AA83" i="1"/>
  <c r="AA172" i="1"/>
  <c r="AA173" i="1"/>
  <c r="AA174" i="1"/>
  <c r="AA175" i="1"/>
  <c r="AA124" i="1"/>
  <c r="AA176" i="1"/>
  <c r="AA177" i="1"/>
  <c r="AA75" i="1"/>
  <c r="AA105" i="1"/>
  <c r="AA178" i="1"/>
  <c r="AA99" i="1"/>
  <c r="AA179" i="1"/>
  <c r="AA180" i="1"/>
  <c r="AA181" i="1"/>
  <c r="AA125" i="1"/>
  <c r="AA126" i="1"/>
  <c r="AA127" i="1"/>
  <c r="AA182" i="1"/>
  <c r="AA183" i="1"/>
  <c r="AA70" i="1"/>
  <c r="AA50" i="1"/>
  <c r="AA128" i="1"/>
  <c r="AA84" i="1"/>
  <c r="AA88" i="1"/>
  <c r="AA110" i="1"/>
  <c r="AA76" i="1"/>
  <c r="AA184" i="1"/>
  <c r="C2" i="3" l="1"/>
  <c r="C3" i="3" s="1"/>
</calcChain>
</file>

<file path=xl/sharedStrings.xml><?xml version="1.0" encoding="utf-8"?>
<sst xmlns="http://schemas.openxmlformats.org/spreadsheetml/2006/main" count="1912" uniqueCount="679">
  <si>
    <t>OBJECTID</t>
  </si>
  <si>
    <t>Easting</t>
  </si>
  <si>
    <t>Northing</t>
  </si>
  <si>
    <t>Shape__Area</t>
  </si>
  <si>
    <t>Shape__Length</t>
  </si>
  <si>
    <t>H13</t>
  </si>
  <si>
    <t>QUEEN VICTORIA WORKS</t>
  </si>
  <si>
    <t>Constrained</t>
  </si>
  <si>
    <t>PRIVATE</t>
  </si>
  <si>
    <t>Private</t>
  </si>
  <si>
    <t>Brownfield</t>
  </si>
  <si>
    <t>No</t>
  </si>
  <si>
    <t>RIVERSIDE DRIVE, FORMER HOMEBASE SITE</t>
  </si>
  <si>
    <t>Effective</t>
  </si>
  <si>
    <t>Under Construction</t>
  </si>
  <si>
    <t>H &amp; H PROPERTIES LTD</t>
  </si>
  <si>
    <t>05/00770/FUL</t>
  </si>
  <si>
    <t>08/00093/NBUILD</t>
  </si>
  <si>
    <t>Yes</t>
  </si>
  <si>
    <t>MONIFIETH ROAD, ARMITSTEAD</t>
  </si>
  <si>
    <t>13/00642/FULL, 16/00179/FULL, 21/00904/FULL</t>
  </si>
  <si>
    <t>15/00790/DOM1</t>
  </si>
  <si>
    <t xml:space="preserve">GRAY STREET, 44 </t>
  </si>
  <si>
    <t>Site Complete</t>
  </si>
  <si>
    <t>DEANSCOURT LTD</t>
  </si>
  <si>
    <t>16/00362/FULL</t>
  </si>
  <si>
    <t>18/00092/DOM1</t>
  </si>
  <si>
    <t>H11</t>
  </si>
  <si>
    <t>EAST SCHOOL ROAD, FORMER DOWNFIELD PS</t>
  </si>
  <si>
    <t>20/00076/FULL</t>
  </si>
  <si>
    <t>22/00511/DOM1</t>
  </si>
  <si>
    <t>H08</t>
  </si>
  <si>
    <t>ST LEONARD PLACE, FORMER MACALPINE PS</t>
  </si>
  <si>
    <t xml:space="preserve">17/00420/FULL, 21/00406/FULL </t>
  </si>
  <si>
    <t>20/00023/DOM1</t>
  </si>
  <si>
    <t>DURA STREET, 3</t>
  </si>
  <si>
    <t>Planning Consent</t>
  </si>
  <si>
    <t>WHITTET LTD</t>
  </si>
  <si>
    <t>10/00676/FULL, 13/00824/FULL, 17/00014/FULL, 20/00018/FULL, 23/00153/FULL</t>
  </si>
  <si>
    <t>SEAGATE/TRADES LANE</t>
  </si>
  <si>
    <t>HILLCREST HA</t>
  </si>
  <si>
    <t>RSL</t>
  </si>
  <si>
    <t>16/01058/FULL</t>
  </si>
  <si>
    <t>17/00689/DOM1</t>
  </si>
  <si>
    <t>H02</t>
  </si>
  <si>
    <t xml:space="preserve">EARN CRESCENT, LAND AT </t>
  </si>
  <si>
    <t>DUNDEE CITY COUNCIL</t>
  </si>
  <si>
    <t>H20</t>
  </si>
  <si>
    <t>HEBRIDES DRIVE WEST, MOM-PHASE 4</t>
  </si>
  <si>
    <t>Allocated in LDP</t>
  </si>
  <si>
    <t xml:space="preserve">PITKERRO ROAD, 189-197 </t>
  </si>
  <si>
    <t>HOME SCOTLAND</t>
  </si>
  <si>
    <t>16/01057/FULL, 19/00807/FULL</t>
  </si>
  <si>
    <t>18/00634/DOM1</t>
  </si>
  <si>
    <t>201410C</t>
  </si>
  <si>
    <t>BUGHTIES ROAD, 22</t>
  </si>
  <si>
    <t>Small Site</t>
  </si>
  <si>
    <t>16/00889/FULL, 19/00822/FULL</t>
  </si>
  <si>
    <t>14/00723/DOM2, 17/00356/DOM2</t>
  </si>
  <si>
    <t>201410A</t>
  </si>
  <si>
    <t xml:space="preserve">WEST GROVE AVENUE,10 </t>
  </si>
  <si>
    <t>08/00592/FUL, 16/00314/FULL, 19/00376/FULL, 21/00671/FULL</t>
  </si>
  <si>
    <t>10/00714/NBUILD, 16/00460/DOM2</t>
  </si>
  <si>
    <t>H03</t>
  </si>
  <si>
    <t>CLATTO, LAND AT</t>
  </si>
  <si>
    <t>SCOTTISH WATER</t>
  </si>
  <si>
    <t>H12</t>
  </si>
  <si>
    <t>KIRKTON ROAD, FORMER ST COLUMBAS PS</t>
  </si>
  <si>
    <t>17/00417/FULL</t>
  </si>
  <si>
    <t>21/00283/DOM1</t>
  </si>
  <si>
    <t>PITKERRO MILL</t>
  </si>
  <si>
    <t>SOUTH TAY LTD</t>
  </si>
  <si>
    <t>16/00394/FULL</t>
  </si>
  <si>
    <t>17/00321/DOM1</t>
  </si>
  <si>
    <t>Greenfield</t>
  </si>
  <si>
    <t>200356A</t>
  </si>
  <si>
    <t>WESTERN GATEWAY, SOUTH GRAY</t>
  </si>
  <si>
    <t>SPRINGFIELD</t>
  </si>
  <si>
    <t>15/00121/FULM, 16/00370/FULL, 16/01012/MDPO, 17/00938/FULL, 18/00539/FULL</t>
  </si>
  <si>
    <t>15/00620/DOM1, 18/00073/DOM1, 22/00570/DOM1</t>
  </si>
  <si>
    <t>WESTERN GATEWAY, SWALLOW</t>
  </si>
  <si>
    <t>14/00205/FULM, 16/01023/FULL, 17/00409/MDPO, 23/00168/FULL</t>
  </si>
  <si>
    <t>15/00191/DOM1, 15/00335/DOM1, 15/00641/DOM1, 21/00369/DOM1, 22/00345/DOM1</t>
  </si>
  <si>
    <t>LINLATHEN HOUSE, LAND TO EAST OF</t>
  </si>
  <si>
    <t>10/00298/FULM</t>
  </si>
  <si>
    <t>13/00220/DOM1</t>
  </si>
  <si>
    <t>DUNDEE WESTERN LIFF PHASE 2</t>
  </si>
  <si>
    <t>15/00410/FULM, 18/00992/FULL</t>
  </si>
  <si>
    <t>18/00685/DOM1</t>
  </si>
  <si>
    <t xml:space="preserve">GARDYNE ROAD, WINNOCKS, 1 </t>
  </si>
  <si>
    <t>15/00416/FULL, 17/00947/FULL, 22/0018/NMV, 23/0019/NMV</t>
  </si>
  <si>
    <t>17/00711/DOM1</t>
  </si>
  <si>
    <t>201607L</t>
  </si>
  <si>
    <t>COLLINGWOOD CRESCENT, 20, LAND TO WEST OF</t>
  </si>
  <si>
    <t>15/00138/FULL, 19/00031/FULL</t>
  </si>
  <si>
    <t>19/00644/DOM2</t>
  </si>
  <si>
    <t>201705G</t>
  </si>
  <si>
    <t xml:space="preserve">DUDHOPE TERRACE, 7 </t>
  </si>
  <si>
    <t>Consent Expired</t>
  </si>
  <si>
    <t>16/00277/FULL, 19/00797/FULL</t>
  </si>
  <si>
    <t>19/00655/DOM4</t>
  </si>
  <si>
    <t>201705H</t>
  </si>
  <si>
    <t xml:space="preserve">MONIFIETH ROAD, 96 </t>
  </si>
  <si>
    <t>16/00505/FULL</t>
  </si>
  <si>
    <t>17/00095/DOM2</t>
  </si>
  <si>
    <t>201705B</t>
  </si>
  <si>
    <t>BROOK STREET, 197, 2/2, BROUGHTY FERRY</t>
  </si>
  <si>
    <t>10/00066/FULL, 13/00139FULL, 16/00488/FULL, 19/00185/FULL,  22/00283/FULL</t>
  </si>
  <si>
    <t>12/00033/ALT, 21/00661/DOM3</t>
  </si>
  <si>
    <t>201705K</t>
  </si>
  <si>
    <t>DUNDEE ROAD, HOLLY HILL, 69</t>
  </si>
  <si>
    <t>16/00832/FULL, 19/00845/FULL, 22/00651/FULL</t>
  </si>
  <si>
    <t>DERBY STREET, FORMER MULTIS</t>
  </si>
  <si>
    <t>DCC/HILLCREST</t>
  </si>
  <si>
    <t>DCC/RSL</t>
  </si>
  <si>
    <t>16/00806/FULM, 17/00799/FULL</t>
  </si>
  <si>
    <t>17/00053/DOM1</t>
  </si>
  <si>
    <t>201805B</t>
  </si>
  <si>
    <t xml:space="preserve">MONIFIETH ROAD, 92A </t>
  </si>
  <si>
    <t>16/00745/FULL</t>
  </si>
  <si>
    <t>20/00299/DOM1</t>
  </si>
  <si>
    <t>201805C</t>
  </si>
  <si>
    <t xml:space="preserve">GLAMIS ROAD, 28A </t>
  </si>
  <si>
    <t>17/00266/FULL, 21/00451/FULL</t>
  </si>
  <si>
    <t>201805D</t>
  </si>
  <si>
    <t xml:space="preserve">HAREFIELD ROAD, 16, LAND TO EAST OF </t>
  </si>
  <si>
    <t>17/00247/FULL, 22/00010/FULL</t>
  </si>
  <si>
    <t>201805G</t>
  </si>
  <si>
    <t>GIBSON TERRACE, 3, LAND EAST OF</t>
  </si>
  <si>
    <t>17/00594/FULL, 20/00295/FULL</t>
  </si>
  <si>
    <t>20/00387/DOM2</t>
  </si>
  <si>
    <t>201805J</t>
  </si>
  <si>
    <t>PRINCES STREET, 161</t>
  </si>
  <si>
    <t>17/00769/FULL</t>
  </si>
  <si>
    <t>18/00020/DOM1</t>
  </si>
  <si>
    <t>MORGAN STREET, TAYBANK WORKS PH 2</t>
  </si>
  <si>
    <t>CALEDONIA HA</t>
  </si>
  <si>
    <t>19/00227/FULL, 20/00039/FULL, 20/00306/FULL, 21/00326/FULL</t>
  </si>
  <si>
    <t>20/00236/DOM1</t>
  </si>
  <si>
    <t>201805M</t>
  </si>
  <si>
    <t>ARBROATH ROAD, NORTH GRANGE FARM</t>
  </si>
  <si>
    <t>18/00053/FULL, 21/00123/FULL</t>
  </si>
  <si>
    <t>H05</t>
  </si>
  <si>
    <t>SOUTH ROAD, FORMER LOCHEE PS</t>
  </si>
  <si>
    <t>22/00402/FULL</t>
  </si>
  <si>
    <t>24/00157/DOM1 - pending</t>
  </si>
  <si>
    <t>H09</t>
  </si>
  <si>
    <t>RANNOCH ROAD, FORMER LAWSIDE ACADEMY</t>
  </si>
  <si>
    <t>H14</t>
  </si>
  <si>
    <t>GREENMARKET, FORMER RAILYARDS *</t>
  </si>
  <si>
    <t>SCOTTISH ENTERPRISE</t>
  </si>
  <si>
    <t>TBC</t>
  </si>
  <si>
    <t>H16</t>
  </si>
  <si>
    <t>MAXWELLTOWN, FORMER MULTIS</t>
  </si>
  <si>
    <t>H18</t>
  </si>
  <si>
    <t>PRINCES STREET</t>
  </si>
  <si>
    <t>PREAPP/001/2019</t>
  </si>
  <si>
    <t>H21</t>
  </si>
  <si>
    <t>HEBRIDES DRIVE NORTH EAST, MOM-PHASE 4</t>
  </si>
  <si>
    <t>18/00974/FULL, 23/00059/FULL</t>
  </si>
  <si>
    <t>23/00034/DOM1</t>
  </si>
  <si>
    <t>H22</t>
  </si>
  <si>
    <t>HEBRIDES DRIVE SOUTH EAST, MOM-PHASE 4)</t>
  </si>
  <si>
    <t>H23</t>
  </si>
  <si>
    <t>BALLOCHMYLE DRIVE, FORMER MOSSGIEL PSC PHASE 2</t>
  </si>
  <si>
    <t>H25</t>
  </si>
  <si>
    <t>LOTHIAN CRESCENT, FORMER WHITFIELD SHOPPING CENTRE</t>
  </si>
  <si>
    <t>Private/RSL</t>
  </si>
  <si>
    <t>H26</t>
  </si>
  <si>
    <t>LOTHIAN CRESCENT</t>
  </si>
  <si>
    <t>H28</t>
  </si>
  <si>
    <t>TRANENT GROVE</t>
  </si>
  <si>
    <t>22/00461/FULL</t>
  </si>
  <si>
    <t>H19</t>
  </si>
  <si>
    <t>BARNS OF CLAVERHOUSE ROAD, MOM PHASE 4</t>
  </si>
  <si>
    <t>H31</t>
  </si>
  <si>
    <t>LOTHIAN CRESCENT, BOWLING GREEN EAST</t>
  </si>
  <si>
    <t>H33</t>
  </si>
  <si>
    <t>DRUMGEITH ROAD, KELLYFIELD</t>
  </si>
  <si>
    <t>H34</t>
  </si>
  <si>
    <t>ETIVE GARDENS, FORMER GOWRIEHILL PS</t>
  </si>
  <si>
    <t>H35</t>
  </si>
  <si>
    <t>DENOON TERRACE, FORMER HILLSIDE PS</t>
  </si>
  <si>
    <t>H36</t>
  </si>
  <si>
    <t>HIGH STREET, LOCHEE, FORMER ST MARYS INFANT SCHOOL</t>
  </si>
  <si>
    <t>H37</t>
  </si>
  <si>
    <t>BURN STREET, FORMER BALDRAGON ACADEMY</t>
  </si>
  <si>
    <t>H41</t>
  </si>
  <si>
    <t>DYKES OF GRAY, NORTH WEST</t>
  </si>
  <si>
    <t>H42</t>
  </si>
  <si>
    <t>WESTERN GATEWAY, LIFF</t>
  </si>
  <si>
    <t>NHS</t>
  </si>
  <si>
    <t>H43</t>
  </si>
  <si>
    <t>DYKES OF GRAY, NORTH EAST</t>
  </si>
  <si>
    <t>H44</t>
  </si>
  <si>
    <t>BALDRAGON FARM</t>
  </si>
  <si>
    <t>AVANT HOMES</t>
  </si>
  <si>
    <t>19/00707/FULM, 20/00771/FULL</t>
  </si>
  <si>
    <t>19/00592/DOM1</t>
  </si>
  <si>
    <t>201824B</t>
  </si>
  <si>
    <t>H45</t>
  </si>
  <si>
    <t>BALLUMBIE ROAD, LAND TO EAST OF - PHASE 2</t>
  </si>
  <si>
    <t>STEWART MILNE</t>
  </si>
  <si>
    <t>20/00423/FULM</t>
  </si>
  <si>
    <t>22/00108/DOM1 (46), 22/00643/DOM1 (104)</t>
  </si>
  <si>
    <t>H47</t>
  </si>
  <si>
    <t xml:space="preserve">STRATHYRE AVENUE, LAND TO EAST OF </t>
  </si>
  <si>
    <t>H06</t>
  </si>
  <si>
    <t>LOCHEE DISTRICT CENTRE</t>
  </si>
  <si>
    <t>13/00678/FULL, 15/00079/FULL, 19/00738/FULL</t>
  </si>
  <si>
    <t>21/00029/DOM1</t>
  </si>
  <si>
    <t>H17</t>
  </si>
  <si>
    <t>CENTRAL WATERFRONT *</t>
  </si>
  <si>
    <t>Mixed</t>
  </si>
  <si>
    <t xml:space="preserve">17/00113/FULM, 18/00400/FULL, </t>
  </si>
  <si>
    <t>18/00718/DOM1, 18/00719/DOM1, 22/00142/DOM1</t>
  </si>
  <si>
    <t>H04</t>
  </si>
  <si>
    <t>QUARRY GARDENS</t>
  </si>
  <si>
    <t>200504D</t>
  </si>
  <si>
    <t>H32</t>
  </si>
  <si>
    <t>ABERLADY CRESCENT PHASE 3B/4</t>
  </si>
  <si>
    <t>DJ LAING</t>
  </si>
  <si>
    <t>20/00121/FULL, 22/00657/FULL</t>
  </si>
  <si>
    <t>15/00654/DOM1, 15/00654/DOM1/G</t>
  </si>
  <si>
    <t>201904A</t>
  </si>
  <si>
    <t>PERTH ROAD, 474, LAND TO EAST OF COACH HOUSE</t>
  </si>
  <si>
    <t>18/00129/FULL, 21/00086/FULL</t>
  </si>
  <si>
    <t>21/00461/DOM2</t>
  </si>
  <si>
    <t>201009A</t>
  </si>
  <si>
    <t>H30</t>
  </si>
  <si>
    <t>HADDINGTON AVENUE (Phase 1)</t>
  </si>
  <si>
    <t>MERCHANT/HOME SCOTLAND</t>
  </si>
  <si>
    <t>18/00224/FULL</t>
  </si>
  <si>
    <t>18/00744/DOM1</t>
  </si>
  <si>
    <t>COLDSIDE ROAD, LAND SOUTH OF</t>
  </si>
  <si>
    <t>17/00933/FULL</t>
  </si>
  <si>
    <t>19/00337/DOM1</t>
  </si>
  <si>
    <t>H10</t>
  </si>
  <si>
    <t>LAUDERDALE AVENUE</t>
  </si>
  <si>
    <t>INVERTAY HOMES</t>
  </si>
  <si>
    <t>18/00463/FULL</t>
  </si>
  <si>
    <t>19/00083/DOM1</t>
  </si>
  <si>
    <t>201904F</t>
  </si>
  <si>
    <t>ALBERT SQUARE, 21</t>
  </si>
  <si>
    <t>18/00454/FULL</t>
  </si>
  <si>
    <t>19/00085/DOM1</t>
  </si>
  <si>
    <t>201904G</t>
  </si>
  <si>
    <t>RIVER CRESCENT, GARDEN GROUND WEST OF BURNSIDE</t>
  </si>
  <si>
    <t>18/00595/FULL, 20/00129/FULL</t>
  </si>
  <si>
    <t>20/00330/DOM2</t>
  </si>
  <si>
    <t>LANGLANDS STREET</t>
  </si>
  <si>
    <t>18/00500/FULL</t>
  </si>
  <si>
    <t>20/00378/DOM1</t>
  </si>
  <si>
    <t>GUTHRIE STREET, THE OLD MILL</t>
  </si>
  <si>
    <t>RAMSAY PROPERTIES LTD</t>
  </si>
  <si>
    <t>17/00134/FULL</t>
  </si>
  <si>
    <t>19/00274/DOM1</t>
  </si>
  <si>
    <t>THORTER LOAN/SOUTH VICTORIA DOCK ROAD</t>
  </si>
  <si>
    <t>18/00387/FULM</t>
  </si>
  <si>
    <t>19/00224/DOM1</t>
  </si>
  <si>
    <t>ELLENGOWAN DRIVE</t>
  </si>
  <si>
    <t>18/00487/FULM</t>
  </si>
  <si>
    <t>18/00752/DOM1, 18/00753/DOM1</t>
  </si>
  <si>
    <t>H46</t>
  </si>
  <si>
    <t>ARBROATH ROAD, LINLATHEN</t>
  </si>
  <si>
    <t>KIRKWOOD HOMES</t>
  </si>
  <si>
    <t>18/00115/FULM, 19/00799/FULM, 21/00322/FULL, 21/00376/FULL, 21/00677/FULL, 21/00713/FULL</t>
  </si>
  <si>
    <t>15/00658/DOM1, 20/00388/DOM1, 21/00111/DOM1, 21/00433/DOM1, 21/00672/DOM1</t>
  </si>
  <si>
    <t>MURRAYGATE, 11-23</t>
  </si>
  <si>
    <t>18/01012/FULL</t>
  </si>
  <si>
    <t>21/00072/DOM1</t>
  </si>
  <si>
    <t>LIFF HOSPITAL</t>
  </si>
  <si>
    <t>MILLER HOMES</t>
  </si>
  <si>
    <t>18/00406/FULL, 18/00407/FULL</t>
  </si>
  <si>
    <t>18/00564/DOM1</t>
  </si>
  <si>
    <t>202004L</t>
  </si>
  <si>
    <t>DEWLOR DEVELOPMENTS</t>
  </si>
  <si>
    <t>19/00560/FULL, 23/00238/FULL</t>
  </si>
  <si>
    <t>19/00493/DOM1</t>
  </si>
  <si>
    <t>KINGSWAY EAST, FORMER STEWART HOUSE</t>
  </si>
  <si>
    <t>PERSIMMON HOMES</t>
  </si>
  <si>
    <t>19/00687/FULM, 23/00449/FULL</t>
  </si>
  <si>
    <t>19/00581/DOM1</t>
  </si>
  <si>
    <t>BUTTARS LOAN, SITE TO THE EAST</t>
  </si>
  <si>
    <t>GREEN PADS LTD</t>
  </si>
  <si>
    <t>19/00246/FULL</t>
  </si>
  <si>
    <t>20/00144/DOM1</t>
  </si>
  <si>
    <t>202004P</t>
  </si>
  <si>
    <t>ROCKFIELD CRESCENT, 7, LAND TO NORTH</t>
  </si>
  <si>
    <t>19/00914/PPPL, 23/00511/PPPL</t>
  </si>
  <si>
    <t>201826A</t>
  </si>
  <si>
    <t>H29</t>
  </si>
  <si>
    <t>SUMMERFIELD GARDENS NORTH</t>
  </si>
  <si>
    <t>17/00307/FULL</t>
  </si>
  <si>
    <t>17/00650/DOM1</t>
  </si>
  <si>
    <t>EAST SCHOOL ROAD, DOWNFIELD HOUSE</t>
  </si>
  <si>
    <t>ABERKELL DEVELOPMENTS</t>
  </si>
  <si>
    <t>19/00830/FULL, 22/0024/NMV</t>
  </si>
  <si>
    <t>21/00094/DOM1, 21/00172/DOM1</t>
  </si>
  <si>
    <t>201109B</t>
  </si>
  <si>
    <t>DOCK STREET, HARBOUR CHAMBERS / CUSTOMS HOUSE</t>
  </si>
  <si>
    <t>ALICYDON LTD</t>
  </si>
  <si>
    <t>20/00399/FULL</t>
  </si>
  <si>
    <t>22/00142/DOM1</t>
  </si>
  <si>
    <t>CONSTABLE STREET, LOWER DENS WORKS, BLOCK G</t>
  </si>
  <si>
    <t>STABLES DEVELOPMENT LLP</t>
  </si>
  <si>
    <t>20/00572/FULL</t>
  </si>
  <si>
    <t>BROWN STREET, 75/77, BROUGHTY FERRY</t>
  </si>
  <si>
    <t>20/00529/PPPL, 22/00547/FULL</t>
  </si>
  <si>
    <t>202035G</t>
  </si>
  <si>
    <t>VICTORIA ROAD, 10,G1 VICTORIA CHAMBERS</t>
  </si>
  <si>
    <t>TAYSIDE PROPERTY MANAGEMENT</t>
  </si>
  <si>
    <t>20/00133/FULL</t>
  </si>
  <si>
    <t>20/00641/DOM1</t>
  </si>
  <si>
    <t>202035H</t>
  </si>
  <si>
    <t>MURRAYGATE, 39, 1/0</t>
  </si>
  <si>
    <t>CASA FRESA HOLDINGS LLP</t>
  </si>
  <si>
    <t>20/00509/FULL</t>
  </si>
  <si>
    <t>21/00100/DOM1</t>
  </si>
  <si>
    <t>202035I</t>
  </si>
  <si>
    <t>HILLTOWN, 245</t>
  </si>
  <si>
    <t>20/00631/FULL</t>
  </si>
  <si>
    <t>202035J</t>
  </si>
  <si>
    <t>COMMERCIAL STREET, 84, 2/1</t>
  </si>
  <si>
    <t>CARDROSS ESTATES</t>
  </si>
  <si>
    <t>20/00612/FULL</t>
  </si>
  <si>
    <t>PITKERRO ROAD, 114-116, LAND AT</t>
  </si>
  <si>
    <t>ANGUS HA</t>
  </si>
  <si>
    <t>20/00052/FULL, 20/00777/FULL</t>
  </si>
  <si>
    <t>20/00411/DOM1</t>
  </si>
  <si>
    <t>202035K</t>
  </si>
  <si>
    <t>CAENLOCHAN ROAD, 4</t>
  </si>
  <si>
    <t>20/00625/FULL</t>
  </si>
  <si>
    <t>23/00244/DOM2</t>
  </si>
  <si>
    <t>MURRAYFIELD PLACE, MURRAYFIELD DRIVE, WHITFIELD AVENUE</t>
  </si>
  <si>
    <t>Local Authority</t>
  </si>
  <si>
    <t>20/00064/FULL, 22/00239/FULL</t>
  </si>
  <si>
    <t>22/00293/DOM1</t>
  </si>
  <si>
    <t>202035L</t>
  </si>
  <si>
    <t>WEST BELL STREET, 1A</t>
  </si>
  <si>
    <t>20/00644/FULL</t>
  </si>
  <si>
    <t>TANNADICE STREET - 28-30, COURT STREET - 32</t>
  </si>
  <si>
    <t>ARB PROPERTIES</t>
  </si>
  <si>
    <t>19/00925/FULL, 20/00784/FULL</t>
  </si>
  <si>
    <t>202061B</t>
  </si>
  <si>
    <t>DALKEITH ROAD, 69</t>
  </si>
  <si>
    <t>MARVEND LTD</t>
  </si>
  <si>
    <t>19/00026/FULL, 20/00142/FULL</t>
  </si>
  <si>
    <t>21/00103/DOM2</t>
  </si>
  <si>
    <t>202019C</t>
  </si>
  <si>
    <t>DOUGLAS TERRACE, 12</t>
  </si>
  <si>
    <t>16/00702/FULL, 20/00143/FULL</t>
  </si>
  <si>
    <t>21/00464/DOM2</t>
  </si>
  <si>
    <t>DALKEITH ROAD, 57</t>
  </si>
  <si>
    <t>20/00209/FULL</t>
  </si>
  <si>
    <t>23/00055/DOM1</t>
  </si>
  <si>
    <t>LIFF PLACE, BROWNHILL PLACE. SITES 1 &amp; 2</t>
  </si>
  <si>
    <t>BLACKWOOD HOMES &amp; CARE</t>
  </si>
  <si>
    <t>20/00247/FULL</t>
  </si>
  <si>
    <t>20/00622/DOM1</t>
  </si>
  <si>
    <t>GOURDIE PLACE, GOURDIE CRESCENT, LAND AT. SITES 3 &amp; 4</t>
  </si>
  <si>
    <t>20/00248/FULL</t>
  </si>
  <si>
    <t>20/00624/DOM1</t>
  </si>
  <si>
    <t>BUTTARS ROAD, LAND TO SOUTH. SITES 5 &amp; 6</t>
  </si>
  <si>
    <t>20/00249/FULL</t>
  </si>
  <si>
    <t>20/00623/DOM1</t>
  </si>
  <si>
    <t>PITKERRO ROAD, NORTH OF, LONGHAUGH ROAD, EAST OF</t>
  </si>
  <si>
    <t>LONGHAUGH DEVELOPMENTS LTD</t>
  </si>
  <si>
    <t xml:space="preserve">19/00063/FULL, </t>
  </si>
  <si>
    <t>20/00529/DOM1</t>
  </si>
  <si>
    <t>202019D</t>
  </si>
  <si>
    <t>MONIFIETH ROAD, 69, STONELEE GUEST HOUSE</t>
  </si>
  <si>
    <t>20/00148/FULL</t>
  </si>
  <si>
    <t>21/00195/DOM4</t>
  </si>
  <si>
    <t>202019E</t>
  </si>
  <si>
    <t>VICTORIA ROAD, 1, BROUGHTY FERRY</t>
  </si>
  <si>
    <t>20/00176/FULL</t>
  </si>
  <si>
    <t>202019F</t>
  </si>
  <si>
    <t>ALBANY ROAD, 39A</t>
  </si>
  <si>
    <t>20/00292/FULL</t>
  </si>
  <si>
    <t>20/00400/DOM4</t>
  </si>
  <si>
    <t>GELLATLY STREET, 3</t>
  </si>
  <si>
    <t>MCGILL (DOCK STREET) LTD</t>
  </si>
  <si>
    <t>19/00502/FULL, 21/00215/FULL</t>
  </si>
  <si>
    <t>22/00215/DOM1</t>
  </si>
  <si>
    <t>A&amp;G PROPERTIES</t>
  </si>
  <si>
    <t>19/00861/FULL</t>
  </si>
  <si>
    <t>20/00248/DOM2</t>
  </si>
  <si>
    <t>202032A</t>
  </si>
  <si>
    <t>SYMERS STREET, LAND TO EAST OF 6</t>
  </si>
  <si>
    <t>20/00232/FULL, 23/00474/FULL</t>
  </si>
  <si>
    <t>22/00184/DOM2</t>
  </si>
  <si>
    <t>202032B</t>
  </si>
  <si>
    <t>FAIRFIELD ROAD, 10</t>
  </si>
  <si>
    <t>WEST DEVELOPMENTS (SCOTLAND) LTD</t>
  </si>
  <si>
    <t xml:space="preserve">20/00160/FULL, 21/00651/FULL, </t>
  </si>
  <si>
    <t>22/00129/DOM1</t>
  </si>
  <si>
    <t>202032C</t>
  </si>
  <si>
    <t>20/00162/FULL, 21/00702/FULL, 22/00367/FULL</t>
  </si>
  <si>
    <t>21/00850/DOM1</t>
  </si>
  <si>
    <t>202035A</t>
  </si>
  <si>
    <t>ADELAIDE PLACE, BOWLING GREEN, LAND TO WEST</t>
  </si>
  <si>
    <t xml:space="preserve">20/00310/PPPL, 23/00314/FULL </t>
  </si>
  <si>
    <t>202035B</t>
  </si>
  <si>
    <t>ERSKINE STREET, 20</t>
  </si>
  <si>
    <t>20/00365/FULL</t>
  </si>
  <si>
    <t>202035C</t>
  </si>
  <si>
    <t>ALBANY ROAD, 50, GARDEN GROUND TO SOUTH</t>
  </si>
  <si>
    <t>20/00289/PPPL, 23/00839/PPPL</t>
  </si>
  <si>
    <t>202035D</t>
  </si>
  <si>
    <t>SPRINGHILL, 13</t>
  </si>
  <si>
    <t>20/00459/FULL</t>
  </si>
  <si>
    <t>20/00540/DOM4</t>
  </si>
  <si>
    <t>202035F</t>
  </si>
  <si>
    <t>DUDHOPE TERRACE, 9</t>
  </si>
  <si>
    <t>20/00548/FULL</t>
  </si>
  <si>
    <t>20/00512/DOM4</t>
  </si>
  <si>
    <t>202061D</t>
  </si>
  <si>
    <t>NETHERGATE, 138, BASEMENT</t>
  </si>
  <si>
    <t>20/00343/FULL</t>
  </si>
  <si>
    <t>20/00563/DOM2</t>
  </si>
  <si>
    <t>SOAPWORK LANE, SOAPWORK LANE HOUSE</t>
  </si>
  <si>
    <t>20/00714/FULL</t>
  </si>
  <si>
    <t>20/00595/DOM1</t>
  </si>
  <si>
    <t>202061F</t>
  </si>
  <si>
    <t>AMERICANMUIR ROAD, 38, GARDEN GROUND</t>
  </si>
  <si>
    <t>20/00690/FULL</t>
  </si>
  <si>
    <t>Refused</t>
  </si>
  <si>
    <t>202061G</t>
  </si>
  <si>
    <t>DYKES OF GRAY, BRAESIDE</t>
  </si>
  <si>
    <t>20/00791/FULL</t>
  </si>
  <si>
    <t>21/00576/DOM2</t>
  </si>
  <si>
    <t>202061H</t>
  </si>
  <si>
    <t>NORTH GRANGE FARM, LAND TO EAST OF FARMHOUSE</t>
  </si>
  <si>
    <t>20/00840/FULL</t>
  </si>
  <si>
    <t>21/00774/DOM2</t>
  </si>
  <si>
    <t>202105B</t>
  </si>
  <si>
    <t>SPRINGFIELD, 8, G/0</t>
  </si>
  <si>
    <t>20/00618/FULL</t>
  </si>
  <si>
    <t>22/00115/DOM1</t>
  </si>
  <si>
    <t>202105C</t>
  </si>
  <si>
    <t>FREDERICK STREET, 45, GARDEN GROUND</t>
  </si>
  <si>
    <t>20/00721/FULL, 22/00756/FULL</t>
  </si>
  <si>
    <t>21/00594/DOM1</t>
  </si>
  <si>
    <t>202105D</t>
  </si>
  <si>
    <t>NORTH STREET, 40</t>
  </si>
  <si>
    <t>21/00008/FULL</t>
  </si>
  <si>
    <t>21/00027/DOM1</t>
  </si>
  <si>
    <t>202105F</t>
  </si>
  <si>
    <t>REFORM STREET, 51, MF SPACE</t>
  </si>
  <si>
    <t>21/00719/FULL</t>
  </si>
  <si>
    <t>202105G</t>
  </si>
  <si>
    <t>REFORM STREET, 51, 2/2, CAFE</t>
  </si>
  <si>
    <t>21/00501/FULL</t>
  </si>
  <si>
    <t>202105H</t>
  </si>
  <si>
    <t>SOUTHAMPTON ROAD, FORMER CRAIGIE HOUSE, LAND AT</t>
  </si>
  <si>
    <t>21/00634/FULL</t>
  </si>
  <si>
    <t>21/00663/DOM2</t>
  </si>
  <si>
    <t>202105I</t>
  </si>
  <si>
    <t>STRATHERN ROAD, 140</t>
  </si>
  <si>
    <t>20/00798/FULL</t>
  </si>
  <si>
    <t>22/00001/DOM2</t>
  </si>
  <si>
    <t>202105J</t>
  </si>
  <si>
    <t>BALGOWAN DRIVE, 7</t>
  </si>
  <si>
    <t>21/00471/FULL</t>
  </si>
  <si>
    <t>202105K</t>
  </si>
  <si>
    <t>SOUTH TAY STREET, 28, GROUND &amp; BASEMENT</t>
  </si>
  <si>
    <t>RD DEVELOPMENTS LTD</t>
  </si>
  <si>
    <t>21/00361/FULL</t>
  </si>
  <si>
    <t>21/00711/DOM4</t>
  </si>
  <si>
    <t>COUPAR ANGUS ROAD, 40, SITE OF FORMER HOTEL</t>
  </si>
  <si>
    <t>REDWOOD BIRKHILL LIMITED</t>
  </si>
  <si>
    <t>20/00591/FULL</t>
  </si>
  <si>
    <t>19/00574/DOM1</t>
  </si>
  <si>
    <t>PERTH ROAD, 329, FERNBRAE HOSPITAL</t>
  </si>
  <si>
    <t>S1 WEST LTD</t>
  </si>
  <si>
    <t>21/00604/FULL</t>
  </si>
  <si>
    <t>22/00059/DOM1</t>
  </si>
  <si>
    <t>BALGILLO ROAD, 157, LAND SOUTH</t>
  </si>
  <si>
    <t>22/00503/FULL</t>
  </si>
  <si>
    <t>201010A</t>
  </si>
  <si>
    <t>DISCOVERY HOMES LTD</t>
  </si>
  <si>
    <t>BROWNHILL PLACE, BROWNHILL STREET. SITE 7</t>
  </si>
  <si>
    <t>20/00250/FULL</t>
  </si>
  <si>
    <t>LAND AT FORMER TAY ROPE WORKS MAGDALEN YARD ROAD</t>
  </si>
  <si>
    <t>F &amp; H DEVELOPMENTS</t>
  </si>
  <si>
    <t>19/00297/FULL</t>
  </si>
  <si>
    <t>21/00543/DOM1</t>
  </si>
  <si>
    <t>LAND TO EAST OF 247 BLACKNESS ROAD</t>
  </si>
  <si>
    <t>21/00525/FULL</t>
  </si>
  <si>
    <t>22/00026/DOM1</t>
  </si>
  <si>
    <t>SITE OF FORMER FACTORY BALLINDEAN ROAD</t>
  </si>
  <si>
    <t>CULLROSS LTD/CALEDONIA HA/BOC LTD</t>
  </si>
  <si>
    <t>21/00602/FULM</t>
  </si>
  <si>
    <t>22/00380/DOM1</t>
  </si>
  <si>
    <t>NICOLL STREET, 6</t>
  </si>
  <si>
    <t>20/00598/FULL</t>
  </si>
  <si>
    <t>23/00060/DOM1</t>
  </si>
  <si>
    <t>SITE OF FORMER JAMES KEILLER BUILDINGS 32 - 34 MAINS LOAN</t>
  </si>
  <si>
    <t>BARRATT NORTH SCOTLAND/MARKETGAIT DEVELOPMENTS</t>
  </si>
  <si>
    <t>20/00098/FULM</t>
  </si>
  <si>
    <t>21/00098/DOM1, 22/00091/DOM1</t>
  </si>
  <si>
    <t>BURNSIDE STREET, 55</t>
  </si>
  <si>
    <t>21/00857/FULM</t>
  </si>
  <si>
    <t>24/00176/DOM1</t>
  </si>
  <si>
    <t>LAND AT FORMER ROSEBANK PRIMARY SCHOOL</t>
  </si>
  <si>
    <t>21/00011/FULL</t>
  </si>
  <si>
    <t>21/00088/DOM1, 21/00648/DOM1</t>
  </si>
  <si>
    <t>FORTHILL ROAD, 10</t>
  </si>
  <si>
    <t>21/00688/PPPL</t>
  </si>
  <si>
    <t>BUCHANAN STREET, ELECTRIC SUB-STATION</t>
  </si>
  <si>
    <t>18/00779/PPPL, 21/00934/APCONL</t>
  </si>
  <si>
    <t>22/00256/DOM1</t>
  </si>
  <si>
    <t>ELLISLEA ROAD, 9, GARDEN GROUND</t>
  </si>
  <si>
    <t>22/00373/FULL</t>
  </si>
  <si>
    <t>22/00610/DOM2</t>
  </si>
  <si>
    <t>GUTHRIE STREET, 9</t>
  </si>
  <si>
    <t>21/00296/FULL</t>
  </si>
  <si>
    <t>CAMPHILL ROAD, 65, LAND TO SOUTH</t>
  </si>
  <si>
    <t>22/00545/FULL</t>
  </si>
  <si>
    <t>LAUDERDALE AVENUE, 88, GARDEN GROUND TO SOUTH</t>
  </si>
  <si>
    <t>22/00535/PPPL</t>
  </si>
  <si>
    <t>ELLIOT ROAD, MAINS OF BALGAY</t>
  </si>
  <si>
    <t>22/00563/FULL</t>
  </si>
  <si>
    <t>HILLTOWN, 114, MOSQUE</t>
  </si>
  <si>
    <t>22/00699/FULL</t>
  </si>
  <si>
    <t xml:space="preserve">CANDLE LANE, 9-11 </t>
  </si>
  <si>
    <t>18/00016/FULL</t>
  </si>
  <si>
    <t>19/00288/DOM1</t>
  </si>
  <si>
    <t>CANDLE LANE, 3-7</t>
  </si>
  <si>
    <t>MURRAYFIELD PROPERTIES LTD</t>
  </si>
  <si>
    <t>20/00739/FULL</t>
  </si>
  <si>
    <t>LOCHEE ROAD, 142A</t>
  </si>
  <si>
    <t>22/00485/FULL</t>
  </si>
  <si>
    <t>23/00067/DOM2</t>
  </si>
  <si>
    <t>DYKES OF GRAY ROAD, SOUTH OF MAINS OF GRAY FARM</t>
  </si>
  <si>
    <t>22/00818/FULL</t>
  </si>
  <si>
    <t>201109A</t>
  </si>
  <si>
    <t>CENTRAL WATERFRONT - SITE 6 *</t>
  </si>
  <si>
    <t>17/00113/FULM, 18/00400/FULL</t>
  </si>
  <si>
    <t>18/00718/DOM1, 18/00719/DOM1</t>
  </si>
  <si>
    <t>201826C</t>
  </si>
  <si>
    <t>SUMMERFIELD AVENUE AT SUMMERFIELD GARDENS, LAND TO WEST</t>
  </si>
  <si>
    <t>21/00736/FULL</t>
  </si>
  <si>
    <t>22/00410/DOM1</t>
  </si>
  <si>
    <t>201826D</t>
  </si>
  <si>
    <t>22/00148/FULL</t>
  </si>
  <si>
    <t>22/00700/DOM1</t>
  </si>
  <si>
    <t>DONALDS LANE, SITE OF FORMER 6</t>
  </si>
  <si>
    <t>22/00376/FULL</t>
  </si>
  <si>
    <t>201510A</t>
  </si>
  <si>
    <t>HIGH STREET, LOCHEE, SITE OF WEAVERS VILLAGE</t>
  </si>
  <si>
    <t>19/00738/FULL</t>
  </si>
  <si>
    <t>BELL STREET, 86, UNIT 1, INDIA BUILDINGS</t>
  </si>
  <si>
    <t>23/00855/FULL</t>
  </si>
  <si>
    <t>BELL STREET, 46 &amp; 50</t>
  </si>
  <si>
    <t>23/00701/FULL</t>
  </si>
  <si>
    <t>BELL STREET, 86, UNIT 2, INDIA BUILDINGS</t>
  </si>
  <si>
    <t>PAVILLION PROPERTIES LTD</t>
  </si>
  <si>
    <t>23/00694/FULL</t>
  </si>
  <si>
    <t>PERTH ROAD, 381, GARDEN GROUND TO EAST</t>
  </si>
  <si>
    <t>23/00668/FULL</t>
  </si>
  <si>
    <t>NETHERGATE, 32</t>
  </si>
  <si>
    <t>23/00587/FULL</t>
  </si>
  <si>
    <t>24/00117/DOM4</t>
  </si>
  <si>
    <t>BELL STREET, 86, INDIA BUILDINGS, 2, UPPER GROUND FLOOR</t>
  </si>
  <si>
    <t>23/00571/FULL</t>
  </si>
  <si>
    <t>23/00543/DOM1</t>
  </si>
  <si>
    <t>BELL STREET, 86, INDIA BUILDINGS, 2, LOWER GROUND FLOOR</t>
  </si>
  <si>
    <t>23/00574/FULL</t>
  </si>
  <si>
    <t>24/00030/DOM1</t>
  </si>
  <si>
    <t>DICKSON AVENUE, THE ROCK</t>
  </si>
  <si>
    <t>ROCK DEVELOPMENTS (SCOTLAND) LTD</t>
  </si>
  <si>
    <t>23/00510/FULL</t>
  </si>
  <si>
    <t>23/00008/DOM1</t>
  </si>
  <si>
    <t>NETHERGATE, 172, CAIRD REST</t>
  </si>
  <si>
    <t>23/00451/FULL</t>
  </si>
  <si>
    <t>DUNDEE ROAD, 69, WOODCROFT</t>
  </si>
  <si>
    <t>23/00404/FULL</t>
  </si>
  <si>
    <t>KINGHORNE ROAD, 119A, THE HIGH KIRK</t>
  </si>
  <si>
    <t>DAVID GRAY  CONSTRUCTION LTD</t>
  </si>
  <si>
    <t>23/00389/FULL</t>
  </si>
  <si>
    <t>24/00145/DOM1 (pending)</t>
  </si>
  <si>
    <t>BELL STREET, 86, UG FLOOR, INDIA BUILDINGS</t>
  </si>
  <si>
    <t>23/00345/FULL</t>
  </si>
  <si>
    <t xml:space="preserve">CLEGHORN STREET, 25A </t>
  </si>
  <si>
    <t>23/00279/FULL</t>
  </si>
  <si>
    <t>23/00422/DOM4</t>
  </si>
  <si>
    <t>STRATHERN ROAD, 32, GARDEN GROUND</t>
  </si>
  <si>
    <t>23/00199/FULL</t>
  </si>
  <si>
    <t>23/00589/DOM2</t>
  </si>
  <si>
    <t>SHEPHERDS LOAN, LAND SOUTH OF STEPHENS YARD</t>
  </si>
  <si>
    <t>23/00170/FULL</t>
  </si>
  <si>
    <t>BROUGHTY FERRY ROAD, 208</t>
  </si>
  <si>
    <t>23/00128/FULL</t>
  </si>
  <si>
    <t>DANIEL TERRACE, 2</t>
  </si>
  <si>
    <t>23/00112/FULL</t>
  </si>
  <si>
    <t>KINGSWAY, 74, GARDEN GROUND</t>
  </si>
  <si>
    <t>23/00110/PPPL</t>
  </si>
  <si>
    <t>GOTTERSTONE DRIVE, 61</t>
  </si>
  <si>
    <t>23/00079/FULL</t>
  </si>
  <si>
    <t>201011A</t>
  </si>
  <si>
    <t>H27</t>
  </si>
  <si>
    <t>Whitfield Drive, South, Site Of Whitfield Primary School</t>
  </si>
  <si>
    <t>Housing Association</t>
  </si>
  <si>
    <t>19/00716/FULL</t>
  </si>
  <si>
    <t>23/00047/DOM1</t>
  </si>
  <si>
    <t>201011B</t>
  </si>
  <si>
    <t>Whitfield Drive, North, Site Of Whitfield Primary School</t>
  </si>
  <si>
    <t xml:space="preserve">GEORGE MARTIN </t>
  </si>
  <si>
    <t>19/00776/FULL</t>
  </si>
  <si>
    <t>201510B</t>
  </si>
  <si>
    <t>BURNSIDE STREET, 6-10, SITE OF</t>
  </si>
  <si>
    <t>22/00748/FULL</t>
  </si>
  <si>
    <t>23/00119/DOM1</t>
  </si>
  <si>
    <t>WHITEHALL CRESCENT, 3</t>
  </si>
  <si>
    <t>JOUP PROPERTY LTD</t>
  </si>
  <si>
    <t>21/00636/FULL</t>
  </si>
  <si>
    <t>22/00065/DOM1</t>
  </si>
  <si>
    <t>ESPLANADE, FORMER JACQUES NIGHTCLUB</t>
  </si>
  <si>
    <t>GL RESIDENTIAL</t>
  </si>
  <si>
    <t>11/00340/FULL</t>
  </si>
  <si>
    <t>12/00395/NBUILD</t>
  </si>
  <si>
    <t>.</t>
  </si>
  <si>
    <t>CLAVERHOUSE OLD ROAD, LAND TO EAST OF 1</t>
  </si>
  <si>
    <t>RIVERVIEW CONSTRUCTION LTD</t>
  </si>
  <si>
    <t>16/00987/FULL</t>
  </si>
  <si>
    <t>18/00146/DOM1</t>
  </si>
  <si>
    <t>RAGLAN STREET, 5</t>
  </si>
  <si>
    <t>JF KEGS</t>
  </si>
  <si>
    <t>18/00984/FULL</t>
  </si>
  <si>
    <t>22/00206/DOM1</t>
  </si>
  <si>
    <t>STRATHMARTINE ROAD, 347-349</t>
  </si>
  <si>
    <t>22/00444/FULL</t>
  </si>
  <si>
    <t>22/00464/DOM1</t>
  </si>
  <si>
    <t>Site_ID</t>
  </si>
  <si>
    <t>Area_ha</t>
  </si>
  <si>
    <t>Units_to_build</t>
  </si>
  <si>
    <t>Land_type</t>
  </si>
  <si>
    <t>Date_completed_or_expired</t>
  </si>
  <si>
    <t>Year_site_added</t>
  </si>
  <si>
    <t>LDP2_reference</t>
  </si>
  <si>
    <t>Site_type</t>
  </si>
  <si>
    <t>Site_status</t>
  </si>
  <si>
    <t>Owner_Developer</t>
  </si>
  <si>
    <t>Tenure_type</t>
  </si>
  <si>
    <t>Planning_application_reference</t>
  </si>
  <si>
    <t>Last_planning_approval_date</t>
  </si>
  <si>
    <t>Building_warrant_reference</t>
  </si>
  <si>
    <t>Self_build</t>
  </si>
  <si>
    <t>Windfall_site</t>
  </si>
  <si>
    <t>Site_capacity</t>
  </si>
  <si>
    <t>BW_plots_written_off</t>
  </si>
  <si>
    <t>No_of_houses</t>
  </si>
  <si>
    <t>No_of_flats</t>
  </si>
  <si>
    <t>Plots_completed_in_survey_year</t>
  </si>
  <si>
    <t>Total_completions</t>
  </si>
  <si>
    <t>Year_24_to_25</t>
  </si>
  <si>
    <t>Year_25_to_26</t>
  </si>
  <si>
    <t>Year_26_to_27</t>
  </si>
  <si>
    <t>Year_27_to_28</t>
  </si>
  <si>
    <t>Year_28_to_29</t>
  </si>
  <si>
    <t>Year_29_to_30</t>
  </si>
  <si>
    <t>Year_30_to_31</t>
  </si>
  <si>
    <t>Year_31_to_32</t>
  </si>
  <si>
    <t>Year_32_to_33</t>
  </si>
  <si>
    <t>Year_33_to_34</t>
  </si>
  <si>
    <t>Later_years</t>
  </si>
  <si>
    <t>Total_programmed</t>
  </si>
  <si>
    <t>Site_address</t>
  </si>
  <si>
    <t>Completion_percent</t>
  </si>
  <si>
    <t>Completed</t>
  </si>
  <si>
    <t>Underway</t>
  </si>
  <si>
    <t>Sites</t>
  </si>
  <si>
    <t>Land Type</t>
  </si>
  <si>
    <t>Count</t>
  </si>
  <si>
    <t>Date_site_added</t>
  </si>
  <si>
    <t>Sum of Site_capacity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</si>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</sst>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9" fontId="0" fillId="0" borderId="0" xfId="42" applyFont="1"/>
    <xf numFmtId="1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pivotButt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numFmt numFmtId="19" formatCode="dd/mm/yyyy"/>
    </dxf>
    <dxf>
      <numFmt numFmtId="19" formatCode="dd/mm/yyyy"/>
    </dxf>
    <dxf>
      <numFmt numFmtId="1" formatCode="0"/>
    </dxf>
    <dxf>
      <numFmt numFmtId="165" formatCode="dd/mm/yyyy;@"/>
    </dxf>
    <dxf>
      <numFmt numFmtId="0" formatCode="General"/>
    </dxf>
    <dxf>
      <numFmt numFmtId="13" formatCode="0%"/>
    </dxf>
  </dxfs>
  <tableStyles count="0" defaultTableStyle="TableStyleMedium2" defaultPivotStyle="PivotStyleLight16"/>
  <colors>
    <mruColors>
      <color rgb="FF8458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Land</a:t>
            </a:r>
            <a:r>
              <a:rPr lang="en-US" baseline="0"/>
              <a:t> Type Development Distribution</a:t>
            </a:r>
            <a:endParaRPr lang="en-US"/>
          </a:p>
        </c:rich>
      </c:tx>
      <c:layout>
        <c:manualLayout>
          <c:xMode val="edge"/>
          <c:yMode val="edge"/>
          <c:x val="0.2390876433446779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'charts&amp;stats'!$B$10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8458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F35-4792-8916-82B71FFC0331}"/>
              </c:ext>
            </c:extLst>
          </c:dPt>
          <c:dPt>
            <c:idx val="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35-4792-8916-82B71FFC03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'charts&amp;stats'!$A$11:$A$12</c:f>
              <c:strCache>
                <c:ptCount val="2"/>
                <c:pt idx="0">
                  <c:v>Brownfield</c:v>
                </c:pt>
                <c:pt idx="1">
                  <c:v>Greenfield</c:v>
                </c:pt>
              </c:strCache>
            </c:strRef>
          </c:cat>
          <c:val>
            <c:numRef>
              <c:f>'charts&amp;stats'!$B$11:$B$12</c:f>
              <c:numCache>
                <c:formatCode>General</c:formatCode>
                <c:ptCount val="2"/>
                <c:pt idx="0">
                  <c:v>169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5-4792-8916-82B71FFC03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[HousingLandAudit23_24_-7049081823186677568.xlsx]charts&amp;stats!PivotTable1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Units by Site Type and Land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4584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'charts&amp;stats'!$B$17:$B$18</c:f>
              <c:strCache>
                <c:ptCount val="1"/>
                <c:pt idx="0">
                  <c:v>Brownfield</c:v>
                </c:pt>
              </c:strCache>
            </c:strRef>
          </c:tx>
          <c:spPr>
            <a:solidFill>
              <a:srgbClr val="845840"/>
            </a:solidFill>
            <a:ln>
              <a:noFill/>
            </a:ln>
            <a:effectLst/>
          </c:spPr>
          <c:invertIfNegative val="0"/>
          <c:cat>
            <c:strRef>
              <c:f>'charts&amp;stats'!$A$19:$A$21</c:f>
              <c:strCache>
                <c:ptCount val="2"/>
                <c:pt idx="0">
                  <c:v>Constrained</c:v>
                </c:pt>
                <c:pt idx="1">
                  <c:v>Effective</c:v>
                </c:pt>
              </c:strCache>
            </c:strRef>
          </c:cat>
          <c:val>
            <c:numRef>
              <c:f>'charts&amp;stats'!$B$19:$B$21</c:f>
              <c:numCache>
                <c:formatCode>General</c:formatCode>
                <c:ptCount val="2"/>
                <c:pt idx="0">
                  <c:v>195</c:v>
                </c:pt>
                <c:pt idx="1">
                  <c:v>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0-4AA7-897E-5A465CE54DEB}"/>
            </c:ext>
          </c:extLst>
        </c:ser>
        <c:ser>
          <c:idx val="1"/>
          <c:order val="1"/>
          <c:tx>
            <c:strRef>
              <c:f>'charts&amp;stats'!$C$17:$C$18</c:f>
              <c:strCache>
                <c:ptCount val="1"/>
                <c:pt idx="0">
                  <c:v>Greenfield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'charts&amp;stats'!$A$19:$A$21</c:f>
              <c:strCache>
                <c:ptCount val="2"/>
                <c:pt idx="0">
                  <c:v>Constrained</c:v>
                </c:pt>
                <c:pt idx="1">
                  <c:v>Effective</c:v>
                </c:pt>
              </c:strCache>
            </c:strRef>
          </c:cat>
          <c:val>
            <c:numRef>
              <c:f>'charts&amp;stats'!$C$19:$C$21</c:f>
              <c:numCache>
                <c:formatCode>General</c:formatCode>
                <c:ptCount val="2"/>
                <c:pt idx="0">
                  <c:v>86</c:v>
                </c:pt>
                <c:pt idx="1">
                  <c:v>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A0-4AA7-897E-5A465CE54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819567"/>
        <c:axId val="1304815247"/>
      </c:barChart>
      <c:catAx>
        <c:axId val="130481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815247"/>
        <c:crosses val="autoZero"/>
        <c:auto val="1"/>
        <c:lblAlgn val="ctr"/>
        <c:lblOffset val="100"/>
        <c:noMultiLvlLbl val="0"/>
      </c:catAx>
      <c:valAx>
        <c:axId val="130481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81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646042</xdr:colOff>
      <xdr:row>0</xdr:row>
      <xdr:rowOff>0</xdr:rowOff>
    </xdr:from>
    <xdr:to>
      <xdr:col>12</xdr:col>
      <xdr:colOff>579781</xdr:colOff>
      <xdr:row>14</xdr:row>
      <xdr:rowOff>182596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235928-C70C-74AD-292B-D485C40CC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646042</xdr:colOff>
      <xdr:row>15</xdr:row>
      <xdr:rowOff>190499</xdr:rowOff>
    </xdr:from>
    <xdr:to>
      <xdr:col>12</xdr:col>
      <xdr:colOff>571499</xdr:colOff>
      <xdr:row>31</xdr:row>
      <xdr:rowOff>16550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E7C7D-633F-8BB7-FB72-567AE52ED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" refreshedDate="45956.820619328704" createdVersion="8" refreshedVersion="8" minRefreshableVersion="3" recordCount="183" xr:uid="{BC1B6CD8-0D26-4DC6-B03B-CDFCC800F926}">
  <cacheSource type="worksheet">
    <worksheetSource name="Housing_Land_Audit_Data_2023_to_2024"/>
  </cacheSource>
  <cacheFields count="42">
    <cacheField name="OBJECTID" numFmtId="0">
      <sharedItems containsSemiMixedTypes="0" containsString="0" containsNumber="1" containsInteger="1" minValue="1" maxValue="184"/>
    </cacheField>
    <cacheField name="Site_ID" numFmtId="0">
      <sharedItems containsMixedTypes="1" containsNumber="1" containsInteger="1" minValue="200321" maxValue="202407" count="183">
        <n v="200321"/>
        <n v="200611"/>
        <n v="200347"/>
        <n v="201702"/>
        <n v="200909"/>
        <n v="200911"/>
        <n v="201102"/>
        <n v="201106"/>
        <n v="201205"/>
        <n v="201221"/>
        <n v="201303"/>
        <s v="201410C"/>
        <s v="201410A"/>
        <n v="201413"/>
        <n v="201415"/>
        <n v="201423"/>
        <s v="200356A"/>
        <n v="200408"/>
        <n v="201509"/>
        <n v="200738"/>
        <n v="201601"/>
        <s v="201607L"/>
        <s v="201705G"/>
        <s v="201705H"/>
        <s v="201705B"/>
        <s v="201705K"/>
        <n v="201108"/>
        <s v="201805B"/>
        <s v="201805C"/>
        <s v="201805D"/>
        <s v="201805G"/>
        <s v="201805J"/>
        <n v="202009"/>
        <s v="201805M"/>
        <n v="201417"/>
        <n v="200913"/>
        <n v="201825"/>
        <n v="201813"/>
        <n v="200728"/>
        <n v="201214"/>
        <n v="201213"/>
        <n v="201110"/>
        <n v="201012"/>
        <n v="200353"/>
        <n v="201010"/>
        <n v="201220"/>
        <n v="201008"/>
        <n v="201827"/>
        <n v="201814"/>
        <n v="201815"/>
        <n v="201816"/>
        <n v="201817"/>
        <n v="201829"/>
        <n v="201821"/>
        <n v="201822"/>
        <n v="201823"/>
        <s v="201824B"/>
        <n v="201424"/>
        <n v="201510"/>
        <n v="201109"/>
        <n v="200807"/>
        <s v="200504D"/>
        <s v="201904A"/>
        <s v="201009A"/>
        <n v="201902"/>
        <n v="201414"/>
        <s v="201904F"/>
        <s v="201904G"/>
        <n v="201906"/>
        <n v="201910"/>
        <n v="201908"/>
        <n v="201912"/>
        <n v="201830"/>
        <n v="202003"/>
        <n v="202002"/>
        <s v="202004L"/>
        <n v="202012"/>
        <n v="202013"/>
        <s v="202004P"/>
        <s v="201826A"/>
        <n v="202022"/>
        <s v="201109B"/>
        <n v="202041"/>
        <n v="202043"/>
        <s v="202035G"/>
        <s v="202035H"/>
        <s v="202035I"/>
        <s v="202035J"/>
        <n v="202051"/>
        <s v="202035K"/>
        <n v="202053"/>
        <s v="202035L"/>
        <n v="202055"/>
        <s v="202061B"/>
        <s v="202019C"/>
        <n v="202065"/>
        <n v="202066"/>
        <n v="202067"/>
        <n v="202068"/>
        <n v="202024"/>
        <s v="202019D"/>
        <s v="202019E"/>
        <s v="202019F"/>
        <n v="202030"/>
        <n v="202031"/>
        <s v="202032A"/>
        <s v="202032B"/>
        <s v="202032C"/>
        <s v="202035A"/>
        <s v="202035B"/>
        <s v="202035C"/>
        <s v="202035D"/>
        <s v="202035F"/>
        <s v="202061D"/>
        <n v="202071"/>
        <s v="202061F"/>
        <s v="202061G"/>
        <s v="202061H"/>
        <s v="202105B"/>
        <s v="202105C"/>
        <s v="202105D"/>
        <s v="202105F"/>
        <s v="202105G"/>
        <s v="202105H"/>
        <s v="202105I"/>
        <s v="202105J"/>
        <s v="202105K"/>
        <n v="202106"/>
        <n v="202107"/>
        <n v="202305"/>
        <s v="201010A"/>
        <n v="202206"/>
        <n v="202108"/>
        <n v="202201"/>
        <n v="202202"/>
        <n v="202203"/>
        <n v="202204"/>
        <n v="202205"/>
        <n v="202104"/>
        <n v="202208"/>
        <n v="202207"/>
        <n v="202302"/>
        <n v="202303"/>
        <n v="202304"/>
        <n v="202306"/>
        <n v="202308"/>
        <n v="202309"/>
        <n v="201913"/>
        <n v="202310"/>
        <n v="202311"/>
        <n v="202313"/>
        <s v="201109A"/>
        <s v="201826C"/>
        <s v="201826D"/>
        <n v="202319"/>
        <s v="201510A"/>
        <n v="202405"/>
        <n v="202402"/>
        <n v="202326"/>
        <n v="202404"/>
        <n v="202323"/>
        <n v="202325"/>
        <n v="202327"/>
        <n v="202324"/>
        <n v="202401"/>
        <n v="202407"/>
        <n v="202322"/>
        <n v="202318"/>
        <n v="202317"/>
        <n v="202316"/>
        <n v="202403"/>
        <n v="202315"/>
        <n v="202314"/>
        <n v="202321"/>
        <n v="202406"/>
        <s v="201011A"/>
        <s v="201011B"/>
        <s v="201510B"/>
        <n v="202115"/>
        <n v="200719"/>
        <n v="201506"/>
        <n v="201812"/>
        <n v="202215"/>
      </sharedItems>
    </cacheField>
    <cacheField name="LDP2_reference" numFmtId="0">
      <sharedItems containsBlank="1"/>
    </cacheField>
    <cacheField name="Date_site_added" numFmtId="165">
      <sharedItems containsSemiMixedTypes="0" containsNonDate="0" containsDate="1" containsString="0" minDate="2003-01-04T00:00:00" maxDate="2024-12-02T00:00:00"/>
    </cacheField>
    <cacheField name="Year_site_added" numFmtId="1">
      <sharedItems containsSemiMixedTypes="0" containsString="0" containsNumber="1" containsInteger="1" minValue="2003" maxValue="2024"/>
    </cacheField>
    <cacheField name="Area_ha" numFmtId="0">
      <sharedItems containsSemiMixedTypes="0" containsString="0" containsNumber="1" minValue="4.0554276958288601E-3" maxValue="24.331203730169999"/>
    </cacheField>
    <cacheField name="Site_address" numFmtId="0">
      <sharedItems/>
    </cacheField>
    <cacheField name="Easting" numFmtId="0">
      <sharedItems containsSemiMixedTypes="0" containsString="0" containsNumber="1" containsInteger="1" minValue="333577" maxValue="348471"/>
    </cacheField>
    <cacheField name="Northing" numFmtId="0">
      <sharedItems containsSemiMixedTypes="0" containsString="0" containsNumber="1" containsInteger="1" minValue="729422" maxValue="734790"/>
    </cacheField>
    <cacheField name="Site_type" numFmtId="0">
      <sharedItems count="3">
        <s v="Constrained"/>
        <s v="Effective"/>
        <s v="Small Site"/>
      </sharedItems>
    </cacheField>
    <cacheField name="Site_status" numFmtId="0">
      <sharedItems/>
    </cacheField>
    <cacheField name="Owner_Developer" numFmtId="0">
      <sharedItems/>
    </cacheField>
    <cacheField name="Tenure_type" numFmtId="0">
      <sharedItems/>
    </cacheField>
    <cacheField name="Planning_application_reference" numFmtId="0">
      <sharedItems containsBlank="1"/>
    </cacheField>
    <cacheField name="Last_planning_approval_date" numFmtId="14">
      <sharedItems containsNonDate="0" containsDate="1" containsString="0" containsBlank="1" minDate="2007-05-06T00:00:00" maxDate="2024-12-02T00:00:00"/>
    </cacheField>
    <cacheField name="Building_warrant_reference" numFmtId="0">
      <sharedItems containsBlank="1"/>
    </cacheField>
    <cacheField name="Date_completed_or_expired" numFmtId="14">
      <sharedItems containsNonDate="0" containsDate="1" containsString="0" containsBlank="1" minDate="2022-10-05T00:00:00" maxDate="2024-09-04T00:00:00"/>
    </cacheField>
    <cacheField name="Land_type" numFmtId="0">
      <sharedItems count="2">
        <s v="Brownfield"/>
        <s v="Greenfield"/>
      </sharedItems>
    </cacheField>
    <cacheField name="Self_build" numFmtId="0">
      <sharedItems/>
    </cacheField>
    <cacheField name="Windfall_site" numFmtId="0">
      <sharedItems containsBlank="1"/>
    </cacheField>
    <cacheField name="Site_capacity" numFmtId="0">
      <sharedItems containsSemiMixedTypes="0" containsString="0" containsNumber="1" containsInteger="1" minValue="1" maxValue="341"/>
    </cacheField>
    <cacheField name="BW_plots_written_off" numFmtId="0">
      <sharedItems containsSemiMixedTypes="0" containsString="0" containsNumber="1" containsInteger="1" minValue="0" maxValue="167"/>
    </cacheField>
    <cacheField name="No_of_houses" numFmtId="0">
      <sharedItems containsSemiMixedTypes="0" containsString="0" containsNumber="1" containsInteger="1" minValue="0" maxValue="250"/>
    </cacheField>
    <cacheField name="No_of_flats" numFmtId="0">
      <sharedItems containsSemiMixedTypes="0" containsString="0" containsNumber="1" containsInteger="1" minValue="0" maxValue="276"/>
    </cacheField>
    <cacheField name="Plots_completed_in_survey_year" numFmtId="0">
      <sharedItems containsSemiMixedTypes="0" containsString="0" containsNumber="1" containsInteger="1" minValue="0" maxValue="111"/>
    </cacheField>
    <cacheField name="Total_completions" numFmtId="0">
      <sharedItems containsSemiMixedTypes="0" containsString="0" containsNumber="1" containsInteger="1" minValue="0" maxValue="224"/>
    </cacheField>
    <cacheField name="Completion_percent" numFmtId="9">
      <sharedItems containsSemiMixedTypes="0" containsString="0" containsNumber="1" minValue="0" maxValue="1"/>
    </cacheField>
    <cacheField name="Units_to_build" numFmtId="0">
      <sharedItems containsSemiMixedTypes="0" containsString="0" containsNumber="1" containsInteger="1" minValue="0" maxValue="276"/>
    </cacheField>
    <cacheField name="Year_24_to_25" numFmtId="0">
      <sharedItems containsSemiMixedTypes="0" containsString="0" containsNumber="1" containsInteger="1" minValue="0" maxValue="60"/>
    </cacheField>
    <cacheField name="Year_25_to_26" numFmtId="0">
      <sharedItems containsSemiMixedTypes="0" containsString="0" containsNumber="1" containsInteger="1" minValue="-3" maxValue="52"/>
    </cacheField>
    <cacheField name="Year_26_to_27" numFmtId="0">
      <sharedItems containsSemiMixedTypes="0" containsString="0" containsNumber="1" containsInteger="1" minValue="0" maxValue="54"/>
    </cacheField>
    <cacheField name="Year_27_to_28" numFmtId="0">
      <sharedItems containsSemiMixedTypes="0" containsString="0" containsNumber="1" containsInteger="1" minValue="0" maxValue="60"/>
    </cacheField>
    <cacheField name="Year_28_to_29" numFmtId="0">
      <sharedItems containsSemiMixedTypes="0" containsString="0" containsNumber="1" containsInteger="1" minValue="0" maxValue="60"/>
    </cacheField>
    <cacheField name="Year_29_to_30" numFmtId="0">
      <sharedItems containsSemiMixedTypes="0" containsString="0" containsNumber="1" containsInteger="1" minValue="0" maxValue="60"/>
    </cacheField>
    <cacheField name="Year_30_to_31" numFmtId="0">
      <sharedItems containsSemiMixedTypes="0" containsString="0" containsNumber="1" containsInteger="1" minValue="0" maxValue="70"/>
    </cacheField>
    <cacheField name="Year_31_to_32" numFmtId="0">
      <sharedItems containsSemiMixedTypes="0" containsString="0" containsNumber="1" containsInteger="1" minValue="0" maxValue="70"/>
    </cacheField>
    <cacheField name="Year_32_to_33" numFmtId="0">
      <sharedItems containsSemiMixedTypes="0" containsString="0" containsNumber="1" containsInteger="1" minValue="0" maxValue="76"/>
    </cacheField>
    <cacheField name="Year_33_to_34" numFmtId="0">
      <sharedItems containsString="0" containsBlank="1" containsNumber="1" containsInteger="1" minValue="0" maxValue="48"/>
    </cacheField>
    <cacheField name="Later_years" numFmtId="0">
      <sharedItems containsSemiMixedTypes="0" containsString="0" containsNumber="1" containsInteger="1" minValue="0" maxValue="10"/>
    </cacheField>
    <cacheField name="Total_programmed" numFmtId="0">
      <sharedItems containsString="0" containsBlank="1" containsNumber="1" containsInteger="1" minValue="0" maxValue="276"/>
    </cacheField>
    <cacheField name="Shape__Area" numFmtId="0">
      <sharedItems containsSemiMixedTypes="0" containsString="0" containsNumber="1" minValue="40.5542602539063" maxValue="243312.037353516"/>
    </cacheField>
    <cacheField name="Shape__Length" numFmtId="0">
      <sharedItems containsSemiMixedTypes="0" containsString="0" containsNumber="1" minValue="27.979364722904698" maxValue="2470.2105602025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n v="1"/>
    <x v="0"/>
    <s v="H13"/>
    <d v="2003-01-04T00:00:00"/>
    <n v="2003"/>
    <n v="1.24978000823598"/>
    <s v="QUEEN VICTORIA WORKS"/>
    <n v="339248"/>
    <n v="730423"/>
    <x v="0"/>
    <s v="Constrained"/>
    <s v="PRIVATE"/>
    <s v="Private"/>
    <m/>
    <m/>
    <m/>
    <m/>
    <x v="0"/>
    <s v="No"/>
    <s v="No"/>
    <n v="50"/>
    <n v="0"/>
    <n v="50"/>
    <n v="0"/>
    <n v="0"/>
    <n v="0"/>
    <n v="0"/>
    <n v="50"/>
    <n v="0"/>
    <n v="0"/>
    <n v="0"/>
    <n v="0"/>
    <n v="0"/>
    <n v="0"/>
    <n v="0"/>
    <n v="0"/>
    <n v="0"/>
    <m/>
    <n v="0"/>
    <n v="0"/>
    <n v="12497.800109863299"/>
    <n v="507.873255137223"/>
  </r>
  <r>
    <n v="2"/>
    <x v="1"/>
    <m/>
    <d v="2007-05-06T00:00:00"/>
    <n v="2007"/>
    <n v="1.6776442914955301"/>
    <s v="RIVERSIDE DRIVE, FORMER HOMEBASE SITE"/>
    <n v="339577"/>
    <n v="729422"/>
    <x v="1"/>
    <s v="Under Construction"/>
    <s v="H &amp; H PROPERTIES LTD"/>
    <s v="Private"/>
    <s v="05/00770/FUL"/>
    <d v="2007-05-06T00:00:00"/>
    <s v="08/00093/NBUILD"/>
    <m/>
    <x v="0"/>
    <s v="No"/>
    <s v="Yes"/>
    <n v="135"/>
    <n v="67"/>
    <n v="0"/>
    <n v="135"/>
    <n v="1"/>
    <n v="85"/>
    <n v="0.62962962962962965"/>
    <n v="50"/>
    <n v="0"/>
    <n v="0"/>
    <n v="25"/>
    <n v="25"/>
    <n v="0"/>
    <n v="0"/>
    <n v="0"/>
    <n v="0"/>
    <n v="0"/>
    <n v="0"/>
    <n v="0"/>
    <n v="50"/>
    <n v="16776.442871093801"/>
    <n v="1056.61454639822"/>
  </r>
  <r>
    <n v="3"/>
    <x v="2"/>
    <m/>
    <d v="2013-12-17T00:00:00"/>
    <n v="2013"/>
    <n v="1.0067308550410801"/>
    <s v="MONIFIETH ROAD, ARMITSTEAD"/>
    <n v="347412"/>
    <n v="731148"/>
    <x v="1"/>
    <s v="Under Construction"/>
    <s v="H &amp; H PROPERTIES LTD"/>
    <s v="Private"/>
    <s v="13/00642/FULL, 16/00179/FULL, 21/00904/FULL"/>
    <d v="2022-04-15T00:00:00"/>
    <s v="15/00790/DOM1"/>
    <m/>
    <x v="0"/>
    <s v="No"/>
    <s v="No"/>
    <n v="26"/>
    <n v="0"/>
    <n v="3"/>
    <n v="23"/>
    <n v="0"/>
    <n v="0"/>
    <n v="0"/>
    <n v="26"/>
    <n v="26"/>
    <n v="0"/>
    <n v="0"/>
    <n v="0"/>
    <n v="0"/>
    <n v="0"/>
    <n v="0"/>
    <n v="0"/>
    <n v="0"/>
    <n v="0"/>
    <n v="0"/>
    <n v="26"/>
    <n v="10067.3085021973"/>
    <n v="413.96863087704202"/>
  </r>
  <r>
    <n v="4"/>
    <x v="3"/>
    <m/>
    <d v="2016-01-07T00:00:00"/>
    <n v="2016"/>
    <n v="0.45959589999413503"/>
    <s v="GRAY STREET, 44 "/>
    <n v="337271"/>
    <n v="731747"/>
    <x v="1"/>
    <s v="Site Complete"/>
    <s v="DEANSCOURT LTD"/>
    <s v="Private"/>
    <s v="16/00362/FULL"/>
    <d v="2016-01-07T00:00:00"/>
    <s v="18/00092/DOM1"/>
    <d v="2023-01-06T00:00:00"/>
    <x v="0"/>
    <s v="No"/>
    <s v="Yes"/>
    <n v="14"/>
    <n v="0"/>
    <n v="14"/>
    <n v="0"/>
    <n v="14"/>
    <n v="14"/>
    <n v="1"/>
    <n v="0"/>
    <n v="0"/>
    <n v="0"/>
    <n v="0"/>
    <n v="0"/>
    <n v="0"/>
    <n v="0"/>
    <n v="0"/>
    <n v="0"/>
    <n v="0"/>
    <m/>
    <n v="0"/>
    <n v="14"/>
    <n v="4595.95899963379"/>
    <n v="269.43884330198398"/>
  </r>
  <r>
    <n v="5"/>
    <x v="4"/>
    <s v="H11"/>
    <d v="2009-01-04T00:00:00"/>
    <n v="2009"/>
    <n v="1.2778370949998601"/>
    <s v="EAST SCHOOL ROAD, FORMER DOWNFIELD PS"/>
    <n v="338919"/>
    <n v="733132"/>
    <x v="1"/>
    <s v="Under Construction"/>
    <s v="H &amp; H PROPERTIES LTD"/>
    <s v="Private"/>
    <s v="20/00076/FULL"/>
    <d v="2020-11-18T00:00:00"/>
    <s v="22/00511/DOM1"/>
    <m/>
    <x v="0"/>
    <s v="No"/>
    <s v="No"/>
    <n v="23"/>
    <n v="0"/>
    <n v="23"/>
    <n v="0"/>
    <n v="0"/>
    <n v="0"/>
    <n v="0"/>
    <n v="23"/>
    <n v="0"/>
    <n v="23"/>
    <n v="0"/>
    <n v="0"/>
    <n v="0"/>
    <n v="0"/>
    <n v="0"/>
    <n v="0"/>
    <n v="0"/>
    <n v="0"/>
    <n v="0"/>
    <n v="23"/>
    <n v="12778.3708953857"/>
    <n v="658.18291060263903"/>
  </r>
  <r>
    <n v="6"/>
    <x v="5"/>
    <s v="H08"/>
    <d v="2019-06-24T00:00:00"/>
    <n v="2019"/>
    <n v="1.5846475050080799"/>
    <s v="ST LEONARD PLACE, FORMER MACALPINE PS"/>
    <n v="338134"/>
    <n v="733812"/>
    <x v="1"/>
    <s v="Under Construction"/>
    <s v="H &amp; H PROPERTIES LTD"/>
    <s v="Private"/>
    <s v="17/00420/FULL, 21/00406/FULL "/>
    <d v="2021-12-15T00:00:00"/>
    <s v="20/00023/DOM1"/>
    <m/>
    <x v="0"/>
    <s v="No"/>
    <s v="No"/>
    <n v="33"/>
    <n v="0"/>
    <n v="33"/>
    <n v="0"/>
    <n v="12"/>
    <n v="32"/>
    <n v="0.96969696969696972"/>
    <n v="1"/>
    <n v="1"/>
    <n v="0"/>
    <n v="0"/>
    <n v="0"/>
    <n v="0"/>
    <n v="0"/>
    <n v="0"/>
    <n v="0"/>
    <n v="0"/>
    <n v="0"/>
    <n v="0"/>
    <n v="1"/>
    <n v="15846.475128173801"/>
    <n v="514.52742318957996"/>
  </r>
  <r>
    <n v="7"/>
    <x v="6"/>
    <m/>
    <d v="2010-12-21T00:00:00"/>
    <n v="2010"/>
    <n v="7.5769505000289006E-2"/>
    <s v="DURA STREET, 3"/>
    <n v="340858"/>
    <n v="731298"/>
    <x v="1"/>
    <s v="Planning Consent"/>
    <s v="WHITTET LTD"/>
    <s v="Private"/>
    <s v="10/00676/FULL, 13/00824/FULL, 17/00014/FULL, 20/00018/FULL, 23/00153/FULL"/>
    <d v="2023-06-29T00:00:00"/>
    <m/>
    <m/>
    <x v="0"/>
    <s v="No"/>
    <s v="Yes"/>
    <n v="8"/>
    <n v="0"/>
    <n v="0"/>
    <n v="8"/>
    <n v="0"/>
    <n v="0"/>
    <n v="0"/>
    <n v="8"/>
    <n v="0"/>
    <n v="0"/>
    <n v="8"/>
    <n v="0"/>
    <n v="0"/>
    <n v="0"/>
    <n v="0"/>
    <n v="0"/>
    <n v="0"/>
    <n v="0"/>
    <n v="0"/>
    <n v="8"/>
    <n v="757.69503784179699"/>
    <n v="137.992066754658"/>
  </r>
  <r>
    <n v="8"/>
    <x v="7"/>
    <m/>
    <d v="2011-01-04T00:00:00"/>
    <n v="2011"/>
    <n v="3.5264120001812997E-2"/>
    <s v="SEAGATE/TRADES LANE"/>
    <n v="340548"/>
    <n v="730518"/>
    <x v="1"/>
    <s v="Under Construction"/>
    <s v="HILLCREST HA"/>
    <s v="RSL"/>
    <s v="16/01058/FULL"/>
    <d v="2017-08-21T00:00:00"/>
    <s v="17/00689/DOM1"/>
    <m/>
    <x v="0"/>
    <s v="No"/>
    <s v="Yes"/>
    <n v="28"/>
    <n v="0"/>
    <n v="0"/>
    <n v="28"/>
    <n v="0"/>
    <n v="0"/>
    <n v="0"/>
    <n v="28"/>
    <n v="28"/>
    <n v="0"/>
    <n v="0"/>
    <n v="0"/>
    <n v="0"/>
    <n v="0"/>
    <n v="0"/>
    <n v="0"/>
    <n v="0"/>
    <n v="0"/>
    <n v="0"/>
    <n v="28"/>
    <n v="352.64118957519503"/>
    <n v="77.827745182300006"/>
  </r>
  <r>
    <n v="9"/>
    <x v="8"/>
    <s v="H02"/>
    <d v="2012-01-04T00:00:00"/>
    <n v="2012"/>
    <n v="0.56489413689997203"/>
    <s v="EARN CRESCENT, LAND AT "/>
    <n v="336292"/>
    <n v="730903"/>
    <x v="0"/>
    <s v="Constrained"/>
    <s v="DUNDEE CITY COUNCIL"/>
    <s v="Private"/>
    <m/>
    <m/>
    <m/>
    <m/>
    <x v="0"/>
    <s v="No"/>
    <s v="No"/>
    <n v="20"/>
    <n v="0"/>
    <n v="0"/>
    <n v="0"/>
    <n v="0"/>
    <n v="0"/>
    <n v="0"/>
    <n v="20"/>
    <n v="0"/>
    <n v="0"/>
    <n v="0"/>
    <n v="0"/>
    <n v="0"/>
    <n v="0"/>
    <n v="0"/>
    <n v="0"/>
    <n v="0"/>
    <m/>
    <n v="0"/>
    <n v="0"/>
    <n v="5648.9412994384802"/>
    <n v="320.50661580920502"/>
  </r>
  <r>
    <n v="10"/>
    <x v="9"/>
    <s v="H20"/>
    <d v="2012-01-04T00:00:00"/>
    <n v="2012"/>
    <n v="0.63833024999962495"/>
    <s v="HEBRIDES DRIVE WEST, MOM-PHASE 4"/>
    <n v="341048"/>
    <n v="733472"/>
    <x v="1"/>
    <s v="Allocated in LDP"/>
    <s v="DUNDEE CITY COUNCIL"/>
    <s v="Private"/>
    <m/>
    <m/>
    <m/>
    <m/>
    <x v="0"/>
    <s v="No"/>
    <s v="No"/>
    <n v="10"/>
    <n v="0"/>
    <n v="0"/>
    <n v="0"/>
    <n v="0"/>
    <n v="0"/>
    <n v="0"/>
    <n v="10"/>
    <n v="0"/>
    <n v="0"/>
    <n v="0"/>
    <n v="0"/>
    <n v="0"/>
    <n v="0"/>
    <n v="0"/>
    <n v="0"/>
    <n v="0"/>
    <n v="0"/>
    <n v="10"/>
    <n v="10"/>
    <n v="6383.3025054931604"/>
    <n v="348.89127637139097"/>
  </r>
  <r>
    <n v="11"/>
    <x v="10"/>
    <m/>
    <d v="2013-01-04T00:00:00"/>
    <n v="2013"/>
    <n v="1.22031784986453"/>
    <s v="PITKERRO ROAD, 189-197 "/>
    <n v="342685"/>
    <n v="732806"/>
    <x v="1"/>
    <s v="Site Complete"/>
    <s v="HOME SCOTLAND"/>
    <s v="RSL"/>
    <s v="16/01057/FULL, 19/00807/FULL"/>
    <d v="2021-09-06T00:00:00"/>
    <s v="18/00634/DOM1"/>
    <d v="2024-03-26T00:00:00"/>
    <x v="0"/>
    <s v="No"/>
    <s v="Yes"/>
    <n v="29"/>
    <n v="0"/>
    <n v="19"/>
    <n v="10"/>
    <n v="29"/>
    <n v="29"/>
    <n v="1"/>
    <n v="0"/>
    <n v="0"/>
    <n v="0"/>
    <n v="0"/>
    <n v="0"/>
    <n v="0"/>
    <n v="0"/>
    <n v="0"/>
    <n v="0"/>
    <n v="0"/>
    <m/>
    <n v="0"/>
    <n v="29"/>
    <n v="12203.1784820557"/>
    <n v="528.53018370755603"/>
  </r>
  <r>
    <n v="12"/>
    <x v="11"/>
    <m/>
    <d v="2017-05-01T00:00:00"/>
    <n v="2017"/>
    <n v="8.6026335399049594E-2"/>
    <s v="BUGHTIES ROAD, 22"/>
    <n v="347058"/>
    <n v="731241"/>
    <x v="2"/>
    <s v="Under Construction"/>
    <s v="PRIVATE"/>
    <s v="Private"/>
    <s v="16/00889/FULL, 19/00822/FULL"/>
    <d v="2020-01-13T00:00:00"/>
    <s v="14/00723/DOM2, 17/00356/DOM2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860.26333618164097"/>
    <n v="127.99299015931101"/>
  </r>
  <r>
    <n v="13"/>
    <x v="12"/>
    <m/>
    <d v="2013-12-13T00:00:00"/>
    <n v="2013"/>
    <n v="0.13055430708141499"/>
    <s v="WEST GROVE AVENUE,10 "/>
    <n v="337465"/>
    <n v="730045"/>
    <x v="2"/>
    <s v="Under Construction"/>
    <s v="PRIVATE"/>
    <s v="Private"/>
    <s v="08/00592/FUL, 16/00314/FULL, 19/00376/FULL, 21/00671/FULL"/>
    <d v="2022-04-03T00:00:00"/>
    <s v="10/00714/NBUILD, 16/00460/DOM2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305.54309082031"/>
    <n v="189.18537398474399"/>
  </r>
  <r>
    <n v="14"/>
    <x v="13"/>
    <s v="H03"/>
    <d v="2014-01-04T00:00:00"/>
    <n v="2014"/>
    <n v="3.4020984525096298"/>
    <s v="CLATTO, LAND AT"/>
    <n v="336967"/>
    <n v="734365"/>
    <x v="0"/>
    <s v="Constrained"/>
    <s v="SCOTTISH WATER"/>
    <s v="Private"/>
    <m/>
    <m/>
    <m/>
    <m/>
    <x v="0"/>
    <s v="No"/>
    <s v="No"/>
    <n v="60"/>
    <n v="0"/>
    <n v="0"/>
    <n v="0"/>
    <n v="0"/>
    <n v="0"/>
    <n v="0"/>
    <n v="60"/>
    <n v="0"/>
    <n v="0"/>
    <n v="0"/>
    <n v="20"/>
    <n v="20"/>
    <n v="20"/>
    <n v="0"/>
    <n v="0"/>
    <n v="0"/>
    <m/>
    <n v="0"/>
    <n v="60"/>
    <n v="34020.984512329102"/>
    <n v="830.69057099299698"/>
  </r>
  <r>
    <n v="15"/>
    <x v="14"/>
    <s v="H12"/>
    <d v="2014-01-04T00:00:00"/>
    <n v="2014"/>
    <n v="0.66612281000174001"/>
    <s v="KIRKTON ROAD, FORMER ST COLUMBAS PS"/>
    <n v="339075"/>
    <n v="733403"/>
    <x v="1"/>
    <s v="Under Construction"/>
    <s v="H &amp; H PROPERTIES LTD"/>
    <s v="Private"/>
    <s v="17/00417/FULL"/>
    <d v="2020-11-18T00:00:00"/>
    <s v="21/00283/DOM1"/>
    <m/>
    <x v="0"/>
    <s v="No"/>
    <s v="No"/>
    <n v="21"/>
    <n v="0"/>
    <n v="21"/>
    <n v="0"/>
    <n v="13"/>
    <n v="13"/>
    <n v="0.61904761904761907"/>
    <n v="8"/>
    <n v="10"/>
    <n v="11"/>
    <n v="0"/>
    <n v="0"/>
    <n v="0"/>
    <n v="0"/>
    <n v="0"/>
    <n v="0"/>
    <n v="0"/>
    <n v="0"/>
    <n v="0"/>
    <n v="21"/>
    <n v="6661.2280731201199"/>
    <n v="327.83104646389802"/>
  </r>
  <r>
    <n v="16"/>
    <x v="15"/>
    <m/>
    <d v="2016-07-20T00:00:00"/>
    <n v="2016"/>
    <n v="1.00069791079977"/>
    <s v="PITKERRO MILL"/>
    <n v="345078"/>
    <n v="733464"/>
    <x v="1"/>
    <s v="Under Construction"/>
    <s v="SOUTH TAY LTD"/>
    <s v="Private"/>
    <s v="16/00394/FULL"/>
    <d v="2016-07-20T00:00:00"/>
    <s v="17/00321/DOM1"/>
    <m/>
    <x v="1"/>
    <s v="No"/>
    <s v="Yes"/>
    <n v="6"/>
    <n v="0"/>
    <n v="6"/>
    <n v="0"/>
    <n v="0"/>
    <n v="0"/>
    <n v="0"/>
    <n v="6"/>
    <n v="6"/>
    <n v="0"/>
    <n v="0"/>
    <n v="0"/>
    <n v="0"/>
    <n v="0"/>
    <n v="0"/>
    <n v="0"/>
    <n v="0"/>
    <n v="0"/>
    <n v="0"/>
    <n v="6"/>
    <n v="10006.979110717801"/>
    <n v="461.32029921374402"/>
  </r>
  <r>
    <n v="17"/>
    <x v="16"/>
    <m/>
    <d v="2016-11-03T00:00:00"/>
    <n v="2016"/>
    <n v="19.341745555420999"/>
    <s v="WESTERN GATEWAY, SOUTH GRAY"/>
    <n v="334131"/>
    <n v="731821"/>
    <x v="1"/>
    <s v="Under Construction"/>
    <s v="SPRINGFIELD"/>
    <s v="Private"/>
    <s v="15/00121/FULM, 16/00370/FULL, 16/01012/MDPO, 17/00938/FULL, 18/00539/FULL"/>
    <d v="2018-06-11T00:00:00"/>
    <s v="15/00620/DOM1, 18/00073/DOM1, 22/00570/DOM1"/>
    <m/>
    <x v="1"/>
    <s v="No"/>
    <s v="Yes"/>
    <n v="341"/>
    <n v="167"/>
    <n v="146"/>
    <n v="58"/>
    <n v="0"/>
    <n v="201"/>
    <n v="0.58944281524926689"/>
    <n v="140"/>
    <n v="0"/>
    <n v="40"/>
    <n v="40"/>
    <n v="60"/>
    <n v="0"/>
    <n v="0"/>
    <n v="0"/>
    <n v="0"/>
    <n v="0"/>
    <n v="0"/>
    <n v="0"/>
    <n v="140"/>
    <n v="193417.45552063"/>
    <n v="1787.1551094644101"/>
  </r>
  <r>
    <n v="18"/>
    <x v="17"/>
    <m/>
    <d v="2015-03-06T00:00:00"/>
    <n v="2015"/>
    <n v="24.331203730169999"/>
    <s v="WESTERN GATEWAY, SWALLOW"/>
    <n v="334038"/>
    <n v="731320"/>
    <x v="1"/>
    <s v="Under Construction"/>
    <s v="SPRINGFIELD"/>
    <s v="Private"/>
    <s v="14/00205/FULM, 16/01023/FULL, 17/00409/MDPO, 23/00168/FULL"/>
    <d v="2017-07-19T00:00:00"/>
    <s v="15/00191/DOM1, 15/00335/DOM1, 15/00641/DOM1, 21/00369/DOM1, 22/00345/DOM1"/>
    <m/>
    <x v="1"/>
    <s v="No"/>
    <s v="No"/>
    <n v="230"/>
    <n v="128"/>
    <n v="0"/>
    <n v="0"/>
    <n v="26"/>
    <n v="133"/>
    <n v="0.57826086956521738"/>
    <n v="97"/>
    <n v="24"/>
    <n v="0"/>
    <n v="0"/>
    <n v="0"/>
    <n v="38"/>
    <n v="35"/>
    <n v="0"/>
    <n v="0"/>
    <n v="0"/>
    <n v="0"/>
    <n v="0"/>
    <n v="97"/>
    <n v="243312.037353516"/>
    <n v="2228.1291458382698"/>
  </r>
  <r>
    <n v="19"/>
    <x v="18"/>
    <m/>
    <d v="2015-01-04T00:00:00"/>
    <n v="2015"/>
    <n v="1.5241813993756601"/>
    <s v="LINLATHEN HOUSE, LAND TO EAST OF"/>
    <n v="346406"/>
    <n v="732975"/>
    <x v="0"/>
    <s v="Constrained"/>
    <s v="PRIVATE"/>
    <s v="Private"/>
    <s v="10/00298/FULM"/>
    <m/>
    <s v="13/00220/DOM1"/>
    <m/>
    <x v="1"/>
    <s v="No"/>
    <s v="Yes"/>
    <n v="60"/>
    <n v="0"/>
    <n v="0"/>
    <n v="0"/>
    <n v="0"/>
    <n v="18"/>
    <n v="0.3"/>
    <n v="42"/>
    <n v="0"/>
    <n v="0"/>
    <n v="0"/>
    <n v="0"/>
    <n v="0"/>
    <n v="0"/>
    <n v="0"/>
    <n v="0"/>
    <n v="0"/>
    <m/>
    <n v="0"/>
    <n v="0"/>
    <n v="15241.813903808599"/>
    <n v="1019.89560010195"/>
  </r>
  <r>
    <n v="20"/>
    <x v="19"/>
    <m/>
    <d v="2016-06-17T00:00:00"/>
    <n v="2016"/>
    <n v="7.82070743126945"/>
    <s v="DUNDEE WESTERN LIFF PHASE 2"/>
    <n v="334379"/>
    <n v="732314"/>
    <x v="1"/>
    <s v="Under Construction"/>
    <s v="SPRINGFIELD"/>
    <s v="Private"/>
    <s v="15/00410/FULM, 18/00992/FULL"/>
    <d v="2019-06-02T00:00:00"/>
    <s v="18/00685/DOM1"/>
    <m/>
    <x v="1"/>
    <s v="No"/>
    <s v="Yes"/>
    <n v="100"/>
    <n v="0"/>
    <n v="100"/>
    <n v="0"/>
    <n v="0"/>
    <n v="0"/>
    <n v="0"/>
    <n v="100"/>
    <n v="0"/>
    <n v="24"/>
    <n v="36"/>
    <n v="26"/>
    <n v="4"/>
    <n v="0"/>
    <n v="0"/>
    <n v="0"/>
    <n v="0"/>
    <n v="0"/>
    <n v="0"/>
    <n v="100"/>
    <n v="78207.074325561494"/>
    <n v="1437.7905970511799"/>
  </r>
  <r>
    <n v="21"/>
    <x v="20"/>
    <m/>
    <d v="2015-07-28T00:00:00"/>
    <n v="2015"/>
    <n v="0.19663273381101601"/>
    <s v="GARDYNE ROAD, WINNOCKS, 1 "/>
    <n v="343984"/>
    <n v="731379"/>
    <x v="1"/>
    <s v="Site Complete"/>
    <s v="PRIVATE"/>
    <s v="Private"/>
    <s v="15/00416/FULL, 17/00947/FULL, 22/0018/NMV, 23/0019/NMV"/>
    <d v="2018-08-02T00:00:00"/>
    <s v="17/00711/DOM1"/>
    <d v="2023-04-04T00:00:00"/>
    <x v="0"/>
    <s v="No"/>
    <s v="Yes"/>
    <n v="7"/>
    <n v="0"/>
    <n v="0"/>
    <n v="7"/>
    <n v="7"/>
    <n v="7"/>
    <n v="1"/>
    <n v="0"/>
    <n v="0"/>
    <n v="0"/>
    <n v="0"/>
    <n v="0"/>
    <n v="0"/>
    <n v="0"/>
    <n v="0"/>
    <n v="0"/>
    <n v="0"/>
    <m/>
    <n v="0"/>
    <n v="2"/>
    <n v="1966.3273010253899"/>
    <n v="232.51115493641399"/>
  </r>
  <r>
    <n v="22"/>
    <x v="21"/>
    <m/>
    <d v="2015-05-15T00:00:00"/>
    <n v="2015"/>
    <n v="4.0366131136699401E-2"/>
    <s v="COLLINGWOOD CRESCENT, 20, LAND TO WEST OF"/>
    <n v="347875"/>
    <n v="731329"/>
    <x v="2"/>
    <s v="Under Construction"/>
    <s v="PRIVATE"/>
    <s v="Private"/>
    <s v="15/00138/FULL, 19/00031/FULL"/>
    <d v="2019-01-05T00:00:00"/>
    <s v="19/00644/DOM2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403.66131591796898"/>
    <n v="88.833579633651198"/>
  </r>
  <r>
    <n v="23"/>
    <x v="22"/>
    <m/>
    <d v="2016-06-24T00:00:00"/>
    <n v="2016"/>
    <n v="0.14694730099970199"/>
    <s v="DUDHOPE TERRACE, 7 "/>
    <n v="339493"/>
    <n v="730910"/>
    <x v="2"/>
    <s v="Consent Expired"/>
    <s v="PRIVATE"/>
    <s v="Private"/>
    <s v="16/00277/FULL, 19/00797/FULL"/>
    <d v="2019-12-19T00:00:00"/>
    <s v="19/00655/DOM4"/>
    <d v="2022-12-19T00:00:00"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1469.47303771973"/>
    <n v="167.783532658398"/>
  </r>
  <r>
    <n v="24"/>
    <x v="23"/>
    <m/>
    <d v="2016-09-14T00:00:00"/>
    <n v="2016"/>
    <n v="5.7013176111611698E-2"/>
    <s v="MONIFIETH ROAD, 96 "/>
    <n v="347449"/>
    <n v="731179"/>
    <x v="2"/>
    <s v="Under Construction"/>
    <s v="PRIVATE"/>
    <s v="Private"/>
    <s v="16/00505/FULL"/>
    <d v="2016-09-14T00:00:00"/>
    <s v="17/00095/DOM2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570.13180541992199"/>
    <n v="102.99260564497899"/>
  </r>
  <r>
    <n v="25"/>
    <x v="24"/>
    <m/>
    <d v="2010-08-04T00:00:00"/>
    <n v="2010"/>
    <n v="3.3856630000123601E-2"/>
    <s v="BROOK STREET, 197, 2/2, BROUGHTY FERRY"/>
    <n v="346151"/>
    <n v="730939"/>
    <x v="2"/>
    <s v="Planning Consent"/>
    <s v="PRIVATE"/>
    <s v="Private"/>
    <s v="10/00066/FULL, 13/00139FULL, 16/00488/FULL, 19/00185/FULL,  22/00283/FULL"/>
    <d v="2022-02-06T00:00:00"/>
    <s v="12/00033/ALT, 21/00661/DOM3"/>
    <d v="2022-10-05T00:00:00"/>
    <x v="0"/>
    <s v="No"/>
    <s v="Yes"/>
    <n v="1"/>
    <n v="0"/>
    <n v="0"/>
    <n v="1"/>
    <n v="0"/>
    <n v="0"/>
    <n v="0"/>
    <n v="1"/>
    <n v="0"/>
    <n v="0"/>
    <n v="0"/>
    <n v="0"/>
    <n v="0"/>
    <n v="0"/>
    <n v="0"/>
    <n v="0"/>
    <n v="0"/>
    <m/>
    <n v="0"/>
    <n v="0"/>
    <n v="338.56626892089798"/>
    <n v="79.087193658614694"/>
  </r>
  <r>
    <n v="26"/>
    <x v="25"/>
    <m/>
    <d v="2016-08-12T00:00:00"/>
    <n v="2016"/>
    <n v="0.18299320938946401"/>
    <s v="DUNDEE ROAD, HOLLY HILL, 69"/>
    <n v="344419"/>
    <n v="731195"/>
    <x v="2"/>
    <s v="Planning Consent"/>
    <s v="PRIVATE"/>
    <s v="Private"/>
    <s v="16/00832/FULL, 19/00845/FULL, 22/00651/FULL"/>
    <d v="2022-11-24T00:00:00"/>
    <m/>
    <m/>
    <x v="0"/>
    <s v="No"/>
    <s v="Yes"/>
    <n v="1"/>
    <n v="0"/>
    <n v="1"/>
    <n v="0"/>
    <n v="0"/>
    <n v="0"/>
    <n v="0"/>
    <n v="0"/>
    <n v="0"/>
    <n v="0"/>
    <n v="0"/>
    <n v="0"/>
    <n v="0"/>
    <n v="0"/>
    <n v="0"/>
    <n v="0"/>
    <n v="0"/>
    <m/>
    <n v="0"/>
    <n v="0"/>
    <n v="1829.9320373535199"/>
    <n v="198.13896198532399"/>
  </r>
  <r>
    <n v="27"/>
    <x v="26"/>
    <m/>
    <d v="2011-01-04T00:00:00"/>
    <n v="2011"/>
    <n v="3.5870172008802399"/>
    <s v="DERBY STREET, FORMER MULTIS"/>
    <n v="339832"/>
    <n v="731556"/>
    <x v="1"/>
    <s v="Under Construction"/>
    <s v="DCC/HILLCREST"/>
    <s v="DCC/RSL"/>
    <s v="16/00806/FULM, 17/00799/FULL"/>
    <d v="2017-11-12T00:00:00"/>
    <s v="17/00053/DOM1"/>
    <m/>
    <x v="0"/>
    <s v="No"/>
    <s v="Yes"/>
    <n v="162"/>
    <n v="1"/>
    <n v="39"/>
    <n v="123"/>
    <n v="111"/>
    <n v="136"/>
    <n v="0.83950617283950613"/>
    <n v="26"/>
    <n v="26"/>
    <n v="0"/>
    <n v="0"/>
    <n v="0"/>
    <n v="0"/>
    <n v="0"/>
    <n v="0"/>
    <n v="0"/>
    <n v="0"/>
    <n v="0"/>
    <n v="0"/>
    <n v="26"/>
    <n v="35870.171981811502"/>
    <n v="1179.6998998157001"/>
  </r>
  <r>
    <n v="28"/>
    <x v="27"/>
    <m/>
    <d v="2017-12-05T00:00:00"/>
    <n v="2017"/>
    <n v="0.10674632254847299"/>
    <s v="MONIFIETH ROAD, 92A "/>
    <n v="347338"/>
    <n v="731179"/>
    <x v="2"/>
    <s v="Under Construction"/>
    <s v="PRIVATE"/>
    <s v="Private"/>
    <s v="16/00745/FULL"/>
    <d v="2017-12-05T00:00:00"/>
    <s v="20/00299/DOM1"/>
    <m/>
    <x v="0"/>
    <s v="No"/>
    <s v="Yes"/>
    <n v="2"/>
    <n v="0"/>
    <n v="2"/>
    <n v="0"/>
    <n v="0"/>
    <n v="0"/>
    <n v="0"/>
    <n v="2"/>
    <n v="0"/>
    <n v="0"/>
    <n v="0"/>
    <n v="0"/>
    <n v="0"/>
    <n v="0"/>
    <n v="0"/>
    <n v="0"/>
    <n v="0"/>
    <m/>
    <n v="0"/>
    <n v="0"/>
    <n v="1067.4632110595701"/>
    <n v="147.658654523536"/>
  </r>
  <r>
    <n v="29"/>
    <x v="28"/>
    <m/>
    <d v="2017-05-24T00:00:00"/>
    <n v="2017"/>
    <n v="4.0015906048659997E-2"/>
    <s v="GLAMIS ROAD, 28A "/>
    <n v="336991"/>
    <n v="730301"/>
    <x v="2"/>
    <s v="Planning Consent"/>
    <s v="PRIVATE"/>
    <s v="Private"/>
    <s v="17/00266/FULL, 21/00451/FULL"/>
    <d v="2021-08-19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400.15902709960898"/>
    <n v="87.669592685541403"/>
  </r>
  <r>
    <n v="30"/>
    <x v="29"/>
    <m/>
    <d v="2017-01-06T00:00:00"/>
    <n v="2017"/>
    <n v="0.15267501438817399"/>
    <s v="HAREFIELD ROAD, 16, LAND TO EAST OF "/>
    <n v="338201"/>
    <n v="731821"/>
    <x v="2"/>
    <s v="Planning Consent"/>
    <s v="PRIVATE"/>
    <s v="Private"/>
    <s v="17/00247/FULL, 22/00010/FULL"/>
    <d v="2022-10-03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526.75012207031"/>
    <n v="174.75385518194199"/>
  </r>
  <r>
    <n v="31"/>
    <x v="30"/>
    <m/>
    <d v="2017-10-26T00:00:00"/>
    <n v="2017"/>
    <n v="0.138441767598975"/>
    <s v="GIBSON TERRACE, 3, LAND EAST OF"/>
    <n v="341179"/>
    <n v="731912"/>
    <x v="2"/>
    <s v="Under Construction"/>
    <s v="PRIVATE"/>
    <s v="Private"/>
    <s v="17/00594/FULL, 20/00295/FULL"/>
    <d v="2020-08-28T00:00:00"/>
    <s v="20/00387/DOM2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384.41772460938"/>
    <n v="165.00280833192701"/>
  </r>
  <r>
    <n v="32"/>
    <x v="31"/>
    <m/>
    <d v="2017-11-15T00:00:00"/>
    <n v="2017"/>
    <n v="3.8505836609149503E-2"/>
    <s v="PRINCES STREET, 161"/>
    <n v="341072"/>
    <n v="730954"/>
    <x v="2"/>
    <s v="Under Construction"/>
    <s v="PRIVATE"/>
    <s v="Private"/>
    <s v="17/00769/FULL"/>
    <d v="2017-11-15T00:00:00"/>
    <s v="18/00020/DOM1"/>
    <m/>
    <x v="0"/>
    <s v="No"/>
    <s v="Yes"/>
    <n v="3"/>
    <n v="0"/>
    <n v="0"/>
    <n v="3"/>
    <n v="0"/>
    <n v="0"/>
    <n v="0"/>
    <n v="3"/>
    <n v="0"/>
    <n v="0"/>
    <n v="0"/>
    <n v="0"/>
    <n v="0"/>
    <n v="0"/>
    <n v="0"/>
    <n v="0"/>
    <n v="0"/>
    <m/>
    <n v="0"/>
    <n v="0"/>
    <n v="385.05841064453102"/>
    <n v="104.34420942035"/>
  </r>
  <r>
    <n v="33"/>
    <x v="32"/>
    <m/>
    <d v="2019-09-18T00:00:00"/>
    <n v="2019"/>
    <n v="0.91843981739791503"/>
    <s v="MORGAN STREET, TAYBANK WORKS PH 2"/>
    <n v="341351"/>
    <n v="731255"/>
    <x v="1"/>
    <s v="Planning Consent"/>
    <s v="CALEDONIA HA"/>
    <s v="RSL"/>
    <s v="19/00227/FULL, 20/00039/FULL, 20/00306/FULL, 21/00326/FULL"/>
    <d v="2021-11-19T00:00:00"/>
    <s v="20/00236/DOM1"/>
    <m/>
    <x v="0"/>
    <s v="No"/>
    <s v="Yes"/>
    <n v="37"/>
    <n v="0"/>
    <n v="21"/>
    <n v="16"/>
    <n v="0"/>
    <n v="0"/>
    <n v="0"/>
    <n v="37"/>
    <n v="0"/>
    <n v="37"/>
    <n v="0"/>
    <n v="0"/>
    <n v="0"/>
    <n v="0"/>
    <n v="0"/>
    <n v="0"/>
    <n v="0"/>
    <n v="0"/>
    <n v="0"/>
    <n v="37"/>
    <n v="9184.3981628418005"/>
    <n v="410.11422635333997"/>
  </r>
  <r>
    <n v="34"/>
    <x v="33"/>
    <m/>
    <d v="2018-03-26T00:00:00"/>
    <n v="2018"/>
    <n v="0.18636985475972301"/>
    <s v="ARBROATH ROAD, NORTH GRANGE FARM"/>
    <n v="348337"/>
    <n v="733354"/>
    <x v="2"/>
    <s v="Planning Consent"/>
    <s v="PRIVATE"/>
    <s v="Private"/>
    <s v="18/00053/FULL, 21/00123/FULL"/>
    <d v="2021-07-05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863.6985473632801"/>
    <n v="179.73587298241901"/>
  </r>
  <r>
    <n v="35"/>
    <x v="34"/>
    <s v="H05"/>
    <d v="2014-01-04T00:00:00"/>
    <n v="2014"/>
    <n v="1.78180157144464"/>
    <s v="SOUTH ROAD, FORMER LOCHEE PS"/>
    <n v="337330"/>
    <n v="731477"/>
    <x v="1"/>
    <s v="Planning Consent"/>
    <s v="H &amp; H PROPERTIES LTD"/>
    <s v="Private"/>
    <s v="22/00402/FULL"/>
    <d v="2023-01-11T00:00:00"/>
    <s v="24/00157/DOM1 - pending"/>
    <m/>
    <x v="0"/>
    <s v="No"/>
    <s v="No"/>
    <n v="39"/>
    <n v="0"/>
    <n v="39"/>
    <n v="0"/>
    <n v="0"/>
    <n v="0"/>
    <n v="0"/>
    <n v="39"/>
    <n v="0"/>
    <n v="30"/>
    <n v="9"/>
    <n v="0"/>
    <n v="0"/>
    <n v="0"/>
    <n v="0"/>
    <n v="0"/>
    <n v="0"/>
    <n v="0"/>
    <n v="0"/>
    <n v="39"/>
    <n v="17818.015777587902"/>
    <n v="642.18105996545103"/>
  </r>
  <r>
    <n v="36"/>
    <x v="35"/>
    <s v="H09"/>
    <d v="2009-01-04T00:00:00"/>
    <n v="2009"/>
    <n v="4.0248834852854696"/>
    <s v="RANNOCH ROAD, FORMER LAWSIDE ACADEMY"/>
    <n v="338363"/>
    <n v="733094"/>
    <x v="1"/>
    <s v="Allocated in LDP"/>
    <s v="DUNDEE CITY COUNCIL"/>
    <s v="Private"/>
    <m/>
    <m/>
    <m/>
    <m/>
    <x v="0"/>
    <s v="No"/>
    <s v="No"/>
    <n v="70"/>
    <n v="0"/>
    <n v="0"/>
    <n v="0"/>
    <n v="0"/>
    <n v="0"/>
    <n v="0"/>
    <n v="70"/>
    <n v="0"/>
    <n v="0"/>
    <n v="0"/>
    <n v="0"/>
    <n v="20"/>
    <n v="20"/>
    <n v="30"/>
    <n v="0"/>
    <n v="0"/>
    <n v="0"/>
    <n v="0"/>
    <n v="70"/>
    <n v="40248.8349304199"/>
    <n v="1092.6144265662199"/>
  </r>
  <r>
    <n v="37"/>
    <x v="36"/>
    <s v="H14"/>
    <d v="2018-01-04T00:00:00"/>
    <n v="2018"/>
    <n v="2.1768483464215702"/>
    <s v="GREENMARKET, FORMER RAILYARDS *"/>
    <n v="339467"/>
    <n v="729510"/>
    <x v="1"/>
    <s v="Allocated in LDP"/>
    <s v="SCOTTISH ENTERPRISE"/>
    <s v="TBC"/>
    <m/>
    <m/>
    <m/>
    <m/>
    <x v="0"/>
    <s v="No"/>
    <s v="No"/>
    <n v="110"/>
    <n v="0"/>
    <n v="0"/>
    <n v="0"/>
    <n v="0"/>
    <n v="0"/>
    <n v="0"/>
    <n v="110"/>
    <n v="0"/>
    <n v="0"/>
    <n v="0"/>
    <n v="50"/>
    <n v="60"/>
    <n v="0"/>
    <n v="0"/>
    <n v="0"/>
    <n v="0"/>
    <n v="0"/>
    <n v="0"/>
    <n v="110"/>
    <n v="21768.4833984375"/>
    <n v="778.54207779822696"/>
  </r>
  <r>
    <n v="38"/>
    <x v="37"/>
    <s v="H16"/>
    <d v="2018-01-04T00:00:00"/>
    <n v="2018"/>
    <n v="0.61366990988215697"/>
    <s v="MAXWELLTOWN, FORMER MULTIS"/>
    <n v="340172"/>
    <n v="731036"/>
    <x v="1"/>
    <s v="Allocated in LDP"/>
    <s v="DUNDEE CITY COUNCIL"/>
    <s v="TBC"/>
    <m/>
    <m/>
    <m/>
    <m/>
    <x v="0"/>
    <s v="No"/>
    <s v="No"/>
    <n v="30"/>
    <n v="0"/>
    <n v="0"/>
    <n v="0"/>
    <n v="0"/>
    <n v="0"/>
    <n v="0"/>
    <n v="30"/>
    <n v="0"/>
    <n v="0"/>
    <n v="0"/>
    <n v="0"/>
    <n v="30"/>
    <n v="0"/>
    <n v="0"/>
    <n v="0"/>
    <n v="0"/>
    <n v="0"/>
    <n v="0"/>
    <n v="30"/>
    <n v="6136.6990966796902"/>
    <n v="346.22523698945002"/>
  </r>
  <r>
    <n v="39"/>
    <x v="38"/>
    <s v="H18"/>
    <d v="2007-01-04T00:00:00"/>
    <n v="2007"/>
    <n v="0.25971538800340199"/>
    <s v="PRINCES STREET"/>
    <n v="340941"/>
    <n v="730852"/>
    <x v="0"/>
    <s v="Constrained"/>
    <s v="DUNDEE CITY COUNCIL"/>
    <s v="Private"/>
    <s v="PREAPP/001/2019"/>
    <m/>
    <m/>
    <m/>
    <x v="0"/>
    <s v="No"/>
    <s v="No"/>
    <n v="20"/>
    <n v="0"/>
    <n v="0"/>
    <n v="0"/>
    <n v="0"/>
    <n v="0"/>
    <n v="0"/>
    <n v="20"/>
    <n v="0"/>
    <n v="0"/>
    <n v="0"/>
    <n v="0"/>
    <n v="0"/>
    <n v="0"/>
    <n v="0"/>
    <n v="0"/>
    <n v="0"/>
    <m/>
    <n v="0"/>
    <n v="0"/>
    <n v="2597.1538696289099"/>
    <n v="243.99971501335"/>
  </r>
  <r>
    <n v="40"/>
    <x v="39"/>
    <s v="H21"/>
    <d v="2012-01-04T00:00:00"/>
    <n v="2012"/>
    <n v="0.44669889979889399"/>
    <s v="HEBRIDES DRIVE NORTH EAST, MOM-PHASE 4"/>
    <n v="341531"/>
    <n v="733473"/>
    <x v="1"/>
    <s v="Planning Consent"/>
    <s v="HOME SCOTLAND"/>
    <s v="RSL"/>
    <s v="18/00974/FULL, 23/00059/FULL"/>
    <d v="2024-09-01T00:00:00"/>
    <s v="23/00034/DOM1"/>
    <m/>
    <x v="0"/>
    <s v="No"/>
    <s v="No"/>
    <n v="17"/>
    <n v="0"/>
    <n v="7"/>
    <n v="10"/>
    <n v="0"/>
    <n v="0"/>
    <n v="0"/>
    <n v="17"/>
    <n v="0"/>
    <n v="17"/>
    <n v="0"/>
    <n v="0"/>
    <n v="0"/>
    <n v="0"/>
    <n v="0"/>
    <n v="0"/>
    <n v="0"/>
    <n v="0"/>
    <n v="0"/>
    <n v="17"/>
    <n v="4466.9889678955096"/>
    <n v="301.25486455957702"/>
  </r>
  <r>
    <n v="41"/>
    <x v="40"/>
    <s v="H22"/>
    <d v="2012-01-04T00:00:00"/>
    <n v="2012"/>
    <n v="0.57888183079968503"/>
    <s v="HEBRIDES DRIVE SOUTH EAST, MOM-PHASE 4)"/>
    <n v="341518"/>
    <n v="733254"/>
    <x v="1"/>
    <s v="Planning Consent"/>
    <s v="HOME SCOTLAND"/>
    <s v="RSL"/>
    <s v="18/00974/FULL, 23/00059/FULL"/>
    <d v="2024-09-01T00:00:00"/>
    <s v="23/00034/DOM1"/>
    <m/>
    <x v="0"/>
    <s v="No"/>
    <s v="No"/>
    <n v="31"/>
    <n v="0"/>
    <n v="7"/>
    <n v="24"/>
    <n v="0"/>
    <n v="0"/>
    <n v="0"/>
    <n v="31"/>
    <n v="0"/>
    <n v="31"/>
    <n v="0"/>
    <n v="0"/>
    <n v="0"/>
    <n v="0"/>
    <n v="0"/>
    <n v="0"/>
    <n v="0"/>
    <n v="0"/>
    <n v="0"/>
    <n v="31"/>
    <n v="5788.81837463379"/>
    <n v="353.41601232478098"/>
  </r>
  <r>
    <n v="42"/>
    <x v="41"/>
    <s v="H23"/>
    <d v="2011-01-04T00:00:00"/>
    <n v="2011"/>
    <n v="1.4577199051126699"/>
    <s v="BALLOCHMYLE DRIVE, FORMER MOSSGIEL PSC PHASE 2"/>
    <n v="341769"/>
    <n v="732646"/>
    <x v="1"/>
    <s v="Allocated in LDP"/>
    <s v="DUNDEE CITY COUNCIL"/>
    <s v="RSL"/>
    <m/>
    <m/>
    <m/>
    <m/>
    <x v="0"/>
    <s v="No"/>
    <s v="No"/>
    <n v="30"/>
    <n v="0"/>
    <n v="0"/>
    <n v="0"/>
    <n v="0"/>
    <n v="0"/>
    <n v="0"/>
    <n v="30"/>
    <n v="0"/>
    <n v="15"/>
    <n v="15"/>
    <n v="0"/>
    <n v="0"/>
    <n v="0"/>
    <n v="0"/>
    <n v="0"/>
    <n v="0"/>
    <n v="0"/>
    <n v="0"/>
    <n v="30"/>
    <n v="14577.1990814209"/>
    <n v="586.12013633473896"/>
  </r>
  <r>
    <n v="43"/>
    <x v="42"/>
    <s v="H25"/>
    <d v="2010-01-04T00:00:00"/>
    <n v="2010"/>
    <n v="1.8273733659468201"/>
    <s v="LOTHIAN CRESCENT, FORMER WHITFIELD SHOPPING CENTRE"/>
    <n v="343056"/>
    <n v="733375"/>
    <x v="1"/>
    <s v="Allocated in LDP"/>
    <s v="DUNDEE CITY COUNCIL"/>
    <s v="Private/RSL"/>
    <m/>
    <m/>
    <m/>
    <m/>
    <x v="0"/>
    <s v="No"/>
    <s v="No"/>
    <n v="30"/>
    <n v="0"/>
    <n v="0"/>
    <n v="0"/>
    <n v="0"/>
    <n v="0"/>
    <n v="0"/>
    <n v="30"/>
    <n v="0"/>
    <n v="0"/>
    <n v="0"/>
    <n v="30"/>
    <n v="0"/>
    <n v="0"/>
    <n v="0"/>
    <n v="0"/>
    <n v="0"/>
    <n v="0"/>
    <n v="0"/>
    <n v="30"/>
    <n v="18273.733779907201"/>
    <n v="583.29609700590504"/>
  </r>
  <r>
    <n v="44"/>
    <x v="43"/>
    <s v="H26"/>
    <d v="2003-01-04T00:00:00"/>
    <n v="2003"/>
    <n v="0.83452929051428104"/>
    <s v="LOTHIAN CRESCENT"/>
    <n v="343118"/>
    <n v="733510"/>
    <x v="0"/>
    <s v="Constrained"/>
    <s v="DUNDEE CITY COUNCIL"/>
    <s v="RSL"/>
    <m/>
    <m/>
    <m/>
    <m/>
    <x v="0"/>
    <s v="No"/>
    <s v="No"/>
    <n v="15"/>
    <n v="0"/>
    <n v="0"/>
    <n v="0"/>
    <n v="0"/>
    <n v="0"/>
    <n v="0"/>
    <n v="15"/>
    <n v="0"/>
    <n v="0"/>
    <n v="0"/>
    <n v="0"/>
    <n v="0"/>
    <n v="0"/>
    <n v="0"/>
    <n v="0"/>
    <n v="0"/>
    <m/>
    <n v="0"/>
    <n v="0"/>
    <n v="8345.2929840087909"/>
    <n v="457.76704404900897"/>
  </r>
  <r>
    <n v="45"/>
    <x v="44"/>
    <s v="H28"/>
    <d v="2010-01-04T00:00:00"/>
    <n v="2010"/>
    <n v="3.7587591557432498"/>
    <s v="TRANENT GROVE"/>
    <n v="343320"/>
    <n v="733503"/>
    <x v="1"/>
    <s v="Allocated in LDP"/>
    <s v="DUNDEE CITY COUNCIL"/>
    <s v="Private"/>
    <s v="22/00461/FULL"/>
    <d v="2022-12-16T00:00:00"/>
    <m/>
    <m/>
    <x v="0"/>
    <s v="No"/>
    <s v="No"/>
    <n v="53"/>
    <n v="0"/>
    <n v="0"/>
    <n v="0"/>
    <n v="0"/>
    <n v="0"/>
    <n v="0"/>
    <n v="53"/>
    <n v="0"/>
    <n v="0"/>
    <n v="22"/>
    <n v="31"/>
    <n v="0"/>
    <n v="0"/>
    <n v="0"/>
    <n v="0"/>
    <n v="0"/>
    <n v="0"/>
    <n v="0"/>
    <n v="53"/>
    <n v="37587.591293334997"/>
    <n v="1337.5894210711599"/>
  </r>
  <r>
    <n v="46"/>
    <x v="45"/>
    <s v="H19"/>
    <d v="2012-01-04T00:00:00"/>
    <n v="2012"/>
    <n v="0.41142045782077202"/>
    <s v="BARNS OF CLAVERHOUSE ROAD, MOM PHASE 4"/>
    <n v="340911"/>
    <n v="733631"/>
    <x v="0"/>
    <s v="Planning Consent"/>
    <s v="DUNDEE CITY COUNCIL"/>
    <s v="Private"/>
    <m/>
    <m/>
    <m/>
    <m/>
    <x v="0"/>
    <s v="No"/>
    <s v="No"/>
    <n v="12"/>
    <n v="0"/>
    <n v="0"/>
    <n v="0"/>
    <n v="0"/>
    <n v="0"/>
    <n v="0"/>
    <n v="12"/>
    <n v="0"/>
    <n v="0"/>
    <n v="0"/>
    <n v="0"/>
    <n v="0"/>
    <n v="0"/>
    <n v="0"/>
    <n v="0"/>
    <n v="0"/>
    <m/>
    <n v="0"/>
    <n v="0"/>
    <n v="4114.20460510254"/>
    <n v="286.301731402087"/>
  </r>
  <r>
    <n v="47"/>
    <x v="46"/>
    <s v="H31"/>
    <d v="2010-01-04T00:00:00"/>
    <n v="2010"/>
    <n v="1.33690337082216"/>
    <s v="LOTHIAN CRESCENT, BOWLING GREEN EAST"/>
    <n v="343913"/>
    <n v="733373"/>
    <x v="1"/>
    <s v="Allocated in LDP"/>
    <s v="DUNDEE CITY COUNCIL"/>
    <s v="Private"/>
    <m/>
    <m/>
    <m/>
    <m/>
    <x v="0"/>
    <s v="No"/>
    <s v="No"/>
    <n v="30"/>
    <n v="0"/>
    <n v="0"/>
    <n v="0"/>
    <n v="0"/>
    <n v="0"/>
    <n v="0"/>
    <n v="30"/>
    <n v="0"/>
    <n v="0"/>
    <n v="15"/>
    <n v="15"/>
    <n v="0"/>
    <n v="0"/>
    <n v="0"/>
    <n v="0"/>
    <n v="0"/>
    <n v="0"/>
    <n v="0"/>
    <n v="30"/>
    <n v="13369.033599853499"/>
    <n v="450.82697520663203"/>
  </r>
  <r>
    <n v="48"/>
    <x v="47"/>
    <s v="H33"/>
    <d v="2018-01-04T00:00:00"/>
    <n v="2018"/>
    <n v="8.4240752997438708"/>
    <s v="DRUMGEITH ROAD, KELLYFIELD"/>
    <n v="344237"/>
    <n v="733239"/>
    <x v="1"/>
    <s v="Allocated in LDP"/>
    <s v="DUNDEE CITY COUNCIL"/>
    <s v="TBC"/>
    <m/>
    <m/>
    <m/>
    <m/>
    <x v="0"/>
    <s v="No"/>
    <s v="No"/>
    <n v="100"/>
    <n v="0"/>
    <n v="0"/>
    <n v="0"/>
    <n v="0"/>
    <n v="0"/>
    <n v="0"/>
    <n v="100"/>
    <n v="0"/>
    <n v="0"/>
    <n v="0"/>
    <n v="0"/>
    <n v="30"/>
    <n v="30"/>
    <n v="40"/>
    <n v="0"/>
    <n v="0"/>
    <n v="0"/>
    <n v="0"/>
    <n v="100"/>
    <n v="84240.752914428696"/>
    <n v="1531.75992501818"/>
  </r>
  <r>
    <n v="49"/>
    <x v="48"/>
    <s v="H34"/>
    <d v="2018-01-04T00:00:00"/>
    <n v="2018"/>
    <n v="1.6696998933609899"/>
    <s v="ETIVE GARDENS, FORMER GOWRIEHILL PS"/>
    <n v="335665"/>
    <n v="731239"/>
    <x v="1"/>
    <s v="Allocated in LDP"/>
    <s v="DUNDEE CITY COUNCIL"/>
    <s v="RSL"/>
    <m/>
    <m/>
    <m/>
    <m/>
    <x v="0"/>
    <s v="No"/>
    <s v="No"/>
    <n v="35"/>
    <n v="0"/>
    <n v="0"/>
    <n v="0"/>
    <n v="0"/>
    <n v="0"/>
    <n v="0"/>
    <n v="35"/>
    <n v="0"/>
    <n v="0"/>
    <n v="35"/>
    <n v="0"/>
    <n v="0"/>
    <n v="0"/>
    <n v="0"/>
    <n v="0"/>
    <n v="0"/>
    <n v="0"/>
    <n v="0"/>
    <n v="35"/>
    <n v="16696.998901367198"/>
    <n v="547.46768589739395"/>
  </r>
  <r>
    <n v="50"/>
    <x v="49"/>
    <s v="H35"/>
    <d v="2018-01-04T00:00:00"/>
    <n v="2018"/>
    <n v="1.97377229879331"/>
    <s v="DENOON TERRACE, FORMER HILLSIDE PS"/>
    <n v="336897"/>
    <n v="731187"/>
    <x v="1"/>
    <s v="Allocated in LDP"/>
    <s v="DUNDEE CITY COUNCIL"/>
    <s v="TBC"/>
    <m/>
    <m/>
    <m/>
    <m/>
    <x v="0"/>
    <s v="No"/>
    <s v="No"/>
    <n v="45"/>
    <n v="0"/>
    <n v="0"/>
    <n v="0"/>
    <n v="0"/>
    <n v="0"/>
    <n v="0"/>
    <n v="45"/>
    <n v="0"/>
    <n v="15"/>
    <n v="30"/>
    <n v="0"/>
    <n v="0"/>
    <n v="0"/>
    <n v="0"/>
    <n v="0"/>
    <n v="0"/>
    <n v="0"/>
    <n v="0"/>
    <n v="45"/>
    <n v="19737.723007202101"/>
    <n v="660.49856018877097"/>
  </r>
  <r>
    <n v="51"/>
    <x v="50"/>
    <s v="H36"/>
    <d v="2018-01-04T00:00:00"/>
    <n v="2018"/>
    <n v="0.36187165469084098"/>
    <s v="HIGH STREET, LOCHEE, FORMER ST MARYS INFANT SCHOOL"/>
    <n v="337998"/>
    <n v="731337"/>
    <x v="1"/>
    <s v="Allocated in LDP"/>
    <s v="DUNDEE CITY COUNCIL"/>
    <s v="TBC"/>
    <m/>
    <m/>
    <m/>
    <m/>
    <x v="0"/>
    <s v="No"/>
    <s v="No"/>
    <n v="10"/>
    <n v="0"/>
    <n v="0"/>
    <n v="0"/>
    <n v="0"/>
    <n v="0"/>
    <n v="0"/>
    <n v="10"/>
    <n v="0"/>
    <n v="10"/>
    <n v="0"/>
    <n v="0"/>
    <n v="0"/>
    <n v="0"/>
    <n v="0"/>
    <n v="0"/>
    <n v="0"/>
    <n v="0"/>
    <n v="0"/>
    <n v="10"/>
    <n v="3618.7165222168001"/>
    <n v="271.85956898459102"/>
  </r>
  <r>
    <n v="52"/>
    <x v="51"/>
    <s v="H37"/>
    <d v="2018-01-04T00:00:00"/>
    <n v="2018"/>
    <n v="4.9260440653602302"/>
    <s v="BURN STREET, FORMER BALDRAGON ACADEMY"/>
    <n v="339111"/>
    <n v="733973"/>
    <x v="1"/>
    <s v="Allocated in LDP"/>
    <s v="DUNDEE CITY COUNCIL"/>
    <s v="TBC"/>
    <m/>
    <m/>
    <m/>
    <m/>
    <x v="0"/>
    <s v="No"/>
    <s v="No"/>
    <n v="70"/>
    <n v="0"/>
    <n v="0"/>
    <n v="0"/>
    <n v="0"/>
    <n v="0"/>
    <n v="0"/>
    <n v="70"/>
    <n v="0"/>
    <n v="0"/>
    <n v="0"/>
    <n v="35"/>
    <n v="35"/>
    <n v="0"/>
    <n v="0"/>
    <n v="0"/>
    <n v="0"/>
    <n v="0"/>
    <n v="0"/>
    <n v="70"/>
    <n v="49260.440597534202"/>
    <n v="1202.9873088469801"/>
  </r>
  <r>
    <n v="53"/>
    <x v="52"/>
    <s v="H41"/>
    <d v="2018-11-01T00:00:00"/>
    <n v="2018"/>
    <n v="21.983299778945401"/>
    <s v="DYKES OF GRAY, NORTH WEST"/>
    <n v="333717"/>
    <n v="731646"/>
    <x v="1"/>
    <s v="Allocated in LDP"/>
    <s v="SPRINGFIELD"/>
    <s v="Private"/>
    <m/>
    <m/>
    <m/>
    <m/>
    <x v="1"/>
    <s v="No"/>
    <s v="No"/>
    <n v="250"/>
    <n v="0"/>
    <n v="0"/>
    <n v="0"/>
    <n v="0"/>
    <n v="0"/>
    <n v="0"/>
    <n v="250"/>
    <n v="0"/>
    <n v="0"/>
    <n v="0"/>
    <n v="0"/>
    <n v="0"/>
    <n v="48"/>
    <n v="48"/>
    <n v="48"/>
    <n v="48"/>
    <n v="48"/>
    <n v="10"/>
    <n v="250"/>
    <n v="219832.99775695801"/>
    <n v="1876.3774447754699"/>
  </r>
  <r>
    <n v="54"/>
    <x v="53"/>
    <s v="H42"/>
    <d v="2018-01-04T00:00:00"/>
    <n v="2018"/>
    <n v="3.2797437301657801"/>
    <s v="WESTERN GATEWAY, LIFF"/>
    <n v="334219"/>
    <n v="732498"/>
    <x v="1"/>
    <s v="Allocated in LDP"/>
    <s v="NHS"/>
    <s v="Private"/>
    <m/>
    <m/>
    <m/>
    <m/>
    <x v="1"/>
    <s v="No"/>
    <s v="No"/>
    <n v="30"/>
    <n v="0"/>
    <n v="0"/>
    <n v="0"/>
    <n v="0"/>
    <n v="0"/>
    <n v="0"/>
    <n v="30"/>
    <n v="0"/>
    <n v="0"/>
    <n v="0"/>
    <n v="0"/>
    <n v="0"/>
    <n v="30"/>
    <n v="0"/>
    <n v="0"/>
    <n v="0"/>
    <n v="0"/>
    <n v="0"/>
    <n v="30"/>
    <n v="32797.437362670898"/>
    <n v="770.79905196951495"/>
  </r>
  <r>
    <n v="55"/>
    <x v="54"/>
    <s v="H43"/>
    <d v="2018-01-04T00:00:00"/>
    <n v="2018"/>
    <n v="13.4423119082638"/>
    <s v="DYKES OF GRAY, NORTH EAST"/>
    <n v="334471"/>
    <n v="732016"/>
    <x v="1"/>
    <s v="Allocated in LDP"/>
    <s v="SPRINGFIELD"/>
    <s v="Private"/>
    <m/>
    <m/>
    <m/>
    <m/>
    <x v="1"/>
    <s v="No"/>
    <s v="No"/>
    <n v="215"/>
    <n v="0"/>
    <n v="0"/>
    <n v="0"/>
    <n v="0"/>
    <n v="0"/>
    <n v="0"/>
    <n v="215"/>
    <n v="0"/>
    <n v="0"/>
    <n v="24"/>
    <n v="36"/>
    <n v="36"/>
    <n v="36"/>
    <n v="36"/>
    <n v="36"/>
    <n v="11"/>
    <n v="0"/>
    <n v="0"/>
    <n v="215"/>
    <n v="134423.119049072"/>
    <n v="1578.2367547801"/>
  </r>
  <r>
    <n v="56"/>
    <x v="55"/>
    <s v="H44"/>
    <d v="2018-01-04T00:00:00"/>
    <n v="2018"/>
    <n v="6.2216252515516199"/>
    <s v="BALDRAGON FARM"/>
    <n v="337401"/>
    <n v="734790"/>
    <x v="1"/>
    <s v="Under Construction"/>
    <s v="AVANT HOMES"/>
    <s v="Private"/>
    <s v="19/00707/FULM, 20/00771/FULL"/>
    <d v="2021-09-04T00:00:00"/>
    <s v="19/00592/DOM1"/>
    <m/>
    <x v="1"/>
    <s v="No"/>
    <s v="No"/>
    <n v="120"/>
    <n v="0"/>
    <n v="120"/>
    <n v="0"/>
    <n v="16"/>
    <n v="46"/>
    <n v="0.38333333333333336"/>
    <n v="74"/>
    <n v="36"/>
    <n v="36"/>
    <n v="2"/>
    <n v="0"/>
    <n v="0"/>
    <n v="0"/>
    <n v="0"/>
    <n v="0"/>
    <n v="0"/>
    <n v="0"/>
    <n v="0"/>
    <n v="74"/>
    <n v="62216.252517700203"/>
    <n v="1236.5762024580099"/>
  </r>
  <r>
    <n v="57"/>
    <x v="56"/>
    <s v="H45"/>
    <d v="2021-05-21T00:00:00"/>
    <n v="2021"/>
    <n v="7.48720299890911"/>
    <s v="BALLUMBIE ROAD, LAND TO EAST OF - PHASE 2"/>
    <n v="344607"/>
    <n v="733962"/>
    <x v="1"/>
    <s v="Planning Consent"/>
    <s v="STEWART MILNE"/>
    <s v="Private"/>
    <s v="20/00423/FULM"/>
    <d v="2021-05-21T00:00:00"/>
    <s v="22/00108/DOM1 (46), 22/00643/DOM1 (104)"/>
    <m/>
    <x v="1"/>
    <s v="No"/>
    <s v="No"/>
    <n v="150"/>
    <n v="0"/>
    <n v="150"/>
    <n v="0"/>
    <n v="0"/>
    <n v="0"/>
    <n v="0"/>
    <n v="150"/>
    <n v="0"/>
    <n v="24"/>
    <n v="24"/>
    <n v="24"/>
    <n v="24"/>
    <n v="24"/>
    <n v="24"/>
    <n v="6"/>
    <n v="0"/>
    <n v="0"/>
    <n v="0"/>
    <n v="150"/>
    <n v="74872.029800414995"/>
    <n v="1253.57766548575"/>
  </r>
  <r>
    <n v="58"/>
    <x v="57"/>
    <s v="H47"/>
    <d v="2014-01-04T00:00:00"/>
    <n v="2014"/>
    <n v="1.5712732134594001"/>
    <s v="STRATHYRE AVENUE, LAND TO EAST OF "/>
    <n v="347040"/>
    <n v="732767"/>
    <x v="0"/>
    <s v="Constrained"/>
    <s v="PRIVATE"/>
    <s v="Private"/>
    <m/>
    <m/>
    <m/>
    <m/>
    <x v="1"/>
    <s v="No"/>
    <s v="No"/>
    <n v="26"/>
    <n v="0"/>
    <n v="0"/>
    <n v="0"/>
    <n v="0"/>
    <n v="0"/>
    <n v="0"/>
    <n v="26"/>
    <n v="0"/>
    <n v="0"/>
    <n v="0"/>
    <n v="0"/>
    <n v="0"/>
    <n v="0"/>
    <n v="0"/>
    <n v="0"/>
    <n v="0"/>
    <m/>
    <n v="0"/>
    <n v="0"/>
    <n v="15712.732147216801"/>
    <n v="587.75176774728197"/>
  </r>
  <r>
    <n v="59"/>
    <x v="58"/>
    <s v="H06"/>
    <d v="2015-01-04T00:00:00"/>
    <n v="2015"/>
    <n v="6.1423672264843301"/>
    <s v="LOCHEE DISTRICT CENTRE"/>
    <n v="337857"/>
    <n v="731572"/>
    <x v="1"/>
    <s v="Allocated in LDP"/>
    <s v="HILLCREST HA"/>
    <s v="RSL"/>
    <s v="13/00678/FULL, 15/00079/FULL, 19/00738/FULL"/>
    <d v="2020-01-27T00:00:00"/>
    <s v="21/00029/DOM1"/>
    <m/>
    <x v="0"/>
    <s v="No"/>
    <s v="No"/>
    <n v="40"/>
    <n v="0"/>
    <n v="0"/>
    <n v="0"/>
    <n v="0"/>
    <n v="0"/>
    <n v="0"/>
    <n v="40"/>
    <n v="0"/>
    <n v="0"/>
    <n v="20"/>
    <n v="20"/>
    <n v="0"/>
    <n v="0"/>
    <n v="0"/>
    <n v="0"/>
    <n v="0"/>
    <n v="0"/>
    <n v="0"/>
    <n v="40"/>
    <n v="61423.672393798799"/>
    <n v="1268.0329737743"/>
  </r>
  <r>
    <n v="60"/>
    <x v="59"/>
    <s v="H17"/>
    <d v="2011-01-04T00:00:00"/>
    <n v="2011"/>
    <n v="23.969417277557199"/>
    <s v="CENTRAL WATERFRONT *"/>
    <n v="340509"/>
    <n v="729995"/>
    <x v="1"/>
    <s v="Allocated in LDP"/>
    <s v="DUNDEE CITY COUNCIL"/>
    <s v="Mixed"/>
    <s v="17/00113/FULM, 18/00400/FULL, "/>
    <d v="2020-10-16T00:00:00"/>
    <s v="18/00718/DOM1, 18/00719/DOM1, 22/00142/DOM1"/>
    <m/>
    <x v="0"/>
    <s v="No"/>
    <s v="No"/>
    <n v="276"/>
    <n v="0"/>
    <n v="0"/>
    <n v="276"/>
    <n v="0"/>
    <n v="0"/>
    <n v="0"/>
    <n v="276"/>
    <n v="0"/>
    <n v="0"/>
    <n v="0"/>
    <n v="0"/>
    <n v="0"/>
    <n v="60"/>
    <n v="70"/>
    <n v="70"/>
    <n v="76"/>
    <n v="0"/>
    <n v="0"/>
    <n v="276"/>
    <n v="239694.17272949201"/>
    <n v="2470.2105602025799"/>
  </r>
  <r>
    <n v="61"/>
    <x v="60"/>
    <s v="H04"/>
    <d v="2008-01-04T00:00:00"/>
    <n v="2008"/>
    <n v="0.44319051000217602"/>
    <s v="QUARRY GARDENS"/>
    <n v="337130"/>
    <n v="732089"/>
    <x v="0"/>
    <s v="Planning Consent"/>
    <s v="DUNDEE CITY COUNCIL"/>
    <s v="Private"/>
    <m/>
    <m/>
    <m/>
    <m/>
    <x v="0"/>
    <s v="No"/>
    <s v="No"/>
    <n v="18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4431.9051055908203"/>
    <n v="263.43911525473999"/>
  </r>
  <r>
    <n v="62"/>
    <x v="61"/>
    <s v="H32"/>
    <d v="2020-10-22T00:00:00"/>
    <n v="2020"/>
    <n v="1.82366832605471"/>
    <s v="ABERLADY CRESCENT PHASE 3B/4"/>
    <n v="343953"/>
    <n v="733534"/>
    <x v="1"/>
    <s v="Under Construction"/>
    <s v="DJ LAING"/>
    <s v="Private"/>
    <s v="20/00121/FULL, 22/00657/FULL"/>
    <d v="2023-10-02T00:00:00"/>
    <s v="15/00654/DOM1, 15/00654/DOM1/G"/>
    <m/>
    <x v="0"/>
    <s v="No"/>
    <s v="No"/>
    <n v="34"/>
    <n v="2"/>
    <n v="32"/>
    <n v="0"/>
    <n v="4"/>
    <n v="31"/>
    <n v="0.91176470588235292"/>
    <n v="3"/>
    <n v="3"/>
    <n v="-3"/>
    <n v="0"/>
    <n v="0"/>
    <n v="0"/>
    <n v="0"/>
    <n v="0"/>
    <n v="0"/>
    <n v="0"/>
    <n v="0"/>
    <n v="0"/>
    <n v="3"/>
    <n v="18236.683242797899"/>
    <n v="816.73690541548501"/>
  </r>
  <r>
    <n v="63"/>
    <x v="62"/>
    <m/>
    <d v="2018-07-05T00:00:00"/>
    <n v="2018"/>
    <n v="0.133660753077644"/>
    <s v="PERTH ROAD, 474, LAND TO EAST OF COACH HOUSE"/>
    <n v="337685"/>
    <n v="729805"/>
    <x v="2"/>
    <s v="Site Complete"/>
    <s v="PRIVATE"/>
    <s v="Private"/>
    <s v="18/00129/FULL, 21/00086/FULL"/>
    <d v="2021-07-05T00:00:00"/>
    <s v="21/00461/DOM2"/>
    <d v="2023-01-09T00:00:00"/>
    <x v="0"/>
    <s v="No"/>
    <s v="Yes"/>
    <n v="1"/>
    <n v="0"/>
    <n v="1"/>
    <n v="0"/>
    <n v="1"/>
    <n v="1"/>
    <n v="1"/>
    <n v="0"/>
    <n v="0"/>
    <n v="0"/>
    <n v="0"/>
    <n v="0"/>
    <n v="0"/>
    <n v="0"/>
    <n v="0"/>
    <n v="0"/>
    <n v="0"/>
    <m/>
    <n v="0"/>
    <n v="0"/>
    <n v="1336.6075744628899"/>
    <n v="237.62155676016499"/>
  </r>
  <r>
    <n v="64"/>
    <x v="63"/>
    <s v="H30"/>
    <d v="2018-11-15T00:00:00"/>
    <n v="2018"/>
    <n v="0.474455118439642"/>
    <s v="HADDINGTON AVENUE (Phase 1)"/>
    <n v="343571"/>
    <n v="733519"/>
    <x v="1"/>
    <s v="Site Complete"/>
    <s v="MERCHANT/HOME SCOTLAND"/>
    <s v="Private/RSL"/>
    <s v="18/00224/FULL"/>
    <d v="2019-09-19T00:00:00"/>
    <s v="18/00744/DOM1"/>
    <d v="2023-11-05T00:00:00"/>
    <x v="0"/>
    <s v="No"/>
    <s v="No"/>
    <n v="13"/>
    <n v="0"/>
    <n v="13"/>
    <n v="0"/>
    <n v="2"/>
    <n v="13"/>
    <n v="1"/>
    <n v="0"/>
    <n v="0"/>
    <n v="0"/>
    <n v="0"/>
    <n v="0"/>
    <n v="0"/>
    <n v="0"/>
    <n v="0"/>
    <n v="0"/>
    <n v="0"/>
    <m/>
    <n v="0"/>
    <n v="3"/>
    <n v="4744.55125427246"/>
    <n v="423.049514426678"/>
  </r>
  <r>
    <n v="65"/>
    <x v="64"/>
    <m/>
    <d v="2018-07-16T00:00:00"/>
    <n v="2018"/>
    <n v="0.852189850093373"/>
    <s v="COLDSIDE ROAD, LAND SOUTH OF"/>
    <n v="339507"/>
    <n v="731945"/>
    <x v="1"/>
    <s v="Under Construction"/>
    <s v="CALEDONIA HA"/>
    <s v="RSL"/>
    <s v="17/00933/FULL"/>
    <d v="2018-07-16T00:00:00"/>
    <s v="19/00337/DOM1"/>
    <m/>
    <x v="0"/>
    <s v="No"/>
    <s v="Yes"/>
    <n v="30"/>
    <n v="0"/>
    <n v="18"/>
    <n v="12"/>
    <n v="20"/>
    <n v="20"/>
    <n v="0.66666666666666663"/>
    <n v="10"/>
    <n v="10"/>
    <n v="0"/>
    <n v="0"/>
    <n v="0"/>
    <n v="0"/>
    <n v="0"/>
    <n v="0"/>
    <n v="0"/>
    <n v="0"/>
    <n v="0"/>
    <n v="0"/>
    <n v="10"/>
    <n v="8521.8985137939508"/>
    <n v="428.10498377444702"/>
  </r>
  <r>
    <n v="66"/>
    <x v="65"/>
    <s v="H10"/>
    <d v="2014-01-04T00:00:00"/>
    <n v="2014"/>
    <n v="0.82732551350578099"/>
    <s v="LAUDERDALE AVENUE"/>
    <n v="338598"/>
    <n v="733531"/>
    <x v="1"/>
    <s v="Under Construction"/>
    <s v="INVERTAY HOMES"/>
    <s v="Private"/>
    <s v="18/00463/FULL"/>
    <d v="2018-09-14T00:00:00"/>
    <s v="19/00083/DOM1"/>
    <m/>
    <x v="0"/>
    <s v="No"/>
    <s v="No"/>
    <n v="27"/>
    <n v="0"/>
    <n v="27"/>
    <n v="0"/>
    <n v="2"/>
    <n v="26"/>
    <n v="0.96296296296296291"/>
    <n v="1"/>
    <n v="1"/>
    <n v="0"/>
    <n v="0"/>
    <n v="0"/>
    <n v="0"/>
    <n v="0"/>
    <n v="0"/>
    <n v="0"/>
    <n v="0"/>
    <n v="0"/>
    <n v="0"/>
    <n v="1"/>
    <n v="8273.2551727294904"/>
    <n v="395.875551020827"/>
  </r>
  <r>
    <n v="67"/>
    <x v="66"/>
    <m/>
    <d v="2018-06-09T00:00:00"/>
    <n v="2018"/>
    <n v="2.1745650000687101E-2"/>
    <s v="ALBERT SQUARE, 21"/>
    <n v="340324"/>
    <n v="730464"/>
    <x v="2"/>
    <s v="Site Complete"/>
    <s v="PRIVATE"/>
    <s v="Private"/>
    <s v="18/00454/FULL"/>
    <d v="2018-06-09T00:00:00"/>
    <s v="19/00085/DOM1"/>
    <d v="2023-12-04T00:00:00"/>
    <x v="0"/>
    <s v="No"/>
    <s v="Yes"/>
    <n v="2"/>
    <n v="0"/>
    <n v="0"/>
    <n v="2"/>
    <n v="2"/>
    <n v="2"/>
    <n v="1"/>
    <n v="0"/>
    <n v="0"/>
    <n v="0"/>
    <n v="0"/>
    <n v="0"/>
    <n v="0"/>
    <n v="0"/>
    <n v="0"/>
    <n v="0"/>
    <n v="0"/>
    <m/>
    <n v="0"/>
    <n v="2"/>
    <n v="217.45651245117199"/>
    <n v="69.170311023413802"/>
  </r>
  <r>
    <n v="68"/>
    <x v="67"/>
    <m/>
    <d v="2018-10-15T00:00:00"/>
    <n v="2018"/>
    <n v="8.4969977317749995E-2"/>
    <s v="RIVER CRESCENT, GARDEN GROUND WEST OF BURNSIDE"/>
    <n v="336537"/>
    <n v="729831"/>
    <x v="2"/>
    <s v="Site Complete"/>
    <s v="PRIVATE"/>
    <s v="Private"/>
    <s v="18/00595/FULL, 20/00129/FULL"/>
    <d v="2020-04-30T00:00:00"/>
    <s v="20/00330/DOM2"/>
    <d v="2023-01-11T00:00:00"/>
    <x v="0"/>
    <s v="No"/>
    <s v="Yes"/>
    <n v="1"/>
    <n v="0"/>
    <n v="1"/>
    <n v="0"/>
    <n v="1"/>
    <n v="1"/>
    <n v="1"/>
    <n v="0"/>
    <n v="0"/>
    <n v="0"/>
    <n v="0"/>
    <n v="0"/>
    <n v="0"/>
    <n v="0"/>
    <n v="0"/>
    <n v="0"/>
    <n v="0"/>
    <m/>
    <n v="0"/>
    <n v="1"/>
    <n v="849.69978332519497"/>
    <n v="128.21156907223599"/>
  </r>
  <r>
    <n v="69"/>
    <x v="68"/>
    <m/>
    <d v="2018-09-25T00:00:00"/>
    <n v="2018"/>
    <n v="0.14060622553524599"/>
    <s v="LANGLANDS STREET"/>
    <n v="341037"/>
    <n v="731374"/>
    <x v="1"/>
    <s v="Under Construction"/>
    <s v="HILLCREST HA"/>
    <s v="RSL"/>
    <s v="18/00500/FULL"/>
    <d v="2018-09-25T00:00:00"/>
    <s v="20/00378/DOM1"/>
    <m/>
    <x v="0"/>
    <s v="No"/>
    <s v="Yes"/>
    <n v="16"/>
    <n v="0"/>
    <n v="0"/>
    <n v="16"/>
    <n v="0"/>
    <n v="0"/>
    <n v="0"/>
    <n v="16"/>
    <n v="16"/>
    <n v="0"/>
    <n v="0"/>
    <n v="0"/>
    <n v="0"/>
    <n v="0"/>
    <n v="0"/>
    <n v="0"/>
    <n v="0"/>
    <n v="0"/>
    <n v="0"/>
    <n v="16"/>
    <n v="1406.0623168945301"/>
    <n v="178.20006232117601"/>
  </r>
  <r>
    <n v="70"/>
    <x v="69"/>
    <m/>
    <d v="2018-12-14T00:00:00"/>
    <n v="2018"/>
    <n v="0.28532220319929902"/>
    <s v="GUTHRIE STREET, THE OLD MILL"/>
    <n v="339735"/>
    <n v="730377"/>
    <x v="1"/>
    <s v="Under Construction"/>
    <s v="RAMSAY PROPERTIES LTD"/>
    <s v="Private"/>
    <s v="17/00134/FULL"/>
    <d v="2018-12-14T00:00:00"/>
    <s v="19/00274/DOM1"/>
    <m/>
    <x v="0"/>
    <s v="No"/>
    <s v="Yes"/>
    <n v="17"/>
    <n v="0"/>
    <n v="0"/>
    <n v="17"/>
    <n v="0"/>
    <n v="0"/>
    <n v="0"/>
    <n v="17"/>
    <n v="17"/>
    <n v="0"/>
    <n v="0"/>
    <n v="0"/>
    <n v="0"/>
    <n v="0"/>
    <n v="0"/>
    <n v="0"/>
    <n v="0"/>
    <n v="0"/>
    <n v="0"/>
    <n v="17"/>
    <n v="2853.2219848632799"/>
    <n v="449.42344888159403"/>
  </r>
  <r>
    <n v="71"/>
    <x v="70"/>
    <m/>
    <d v="2018-12-20T00:00:00"/>
    <n v="2018"/>
    <n v="0.57494226984948205"/>
    <s v="THORTER LOAN/SOUTH VICTORIA DOCK ROAD"/>
    <n v="340968"/>
    <n v="730232"/>
    <x v="1"/>
    <s v="Under Construction"/>
    <s v="HILLCREST HA"/>
    <s v="RSL"/>
    <s v="18/00387/FULM"/>
    <d v="2018-12-20T00:00:00"/>
    <s v="19/00224/DOM1"/>
    <m/>
    <x v="0"/>
    <s v="No"/>
    <s v="Yes"/>
    <n v="119"/>
    <n v="0"/>
    <n v="0"/>
    <n v="119"/>
    <n v="66"/>
    <n v="66"/>
    <n v="0.55462184873949583"/>
    <n v="53"/>
    <n v="53"/>
    <n v="0"/>
    <n v="0"/>
    <n v="0"/>
    <n v="0"/>
    <n v="0"/>
    <n v="0"/>
    <n v="0"/>
    <n v="0"/>
    <n v="0"/>
    <n v="0"/>
    <n v="53"/>
    <n v="5749.4227294921902"/>
    <n v="314.23877315789201"/>
  </r>
  <r>
    <n v="72"/>
    <x v="71"/>
    <m/>
    <d v="2019-09-04T00:00:00"/>
    <n v="2019"/>
    <n v="3.94844599899477"/>
    <s v="ELLENGOWAN DRIVE"/>
    <n v="341769"/>
    <n v="731105"/>
    <x v="1"/>
    <s v="Under Construction"/>
    <s v="HILLCREST HA"/>
    <s v="RSL"/>
    <s v="18/00487/FULM"/>
    <d v="2019-09-04T00:00:00"/>
    <s v="18/00752/DOM1, 18/00753/DOM1"/>
    <m/>
    <x v="0"/>
    <s v="No"/>
    <s v="Yes"/>
    <n v="130"/>
    <n v="0"/>
    <n v="22"/>
    <n v="48"/>
    <n v="8"/>
    <n v="70"/>
    <n v="0.53846153846153844"/>
    <n v="60"/>
    <n v="60"/>
    <n v="0"/>
    <n v="0"/>
    <n v="0"/>
    <n v="0"/>
    <n v="0"/>
    <n v="0"/>
    <n v="0"/>
    <n v="0"/>
    <n v="0"/>
    <n v="0"/>
    <n v="60"/>
    <n v="39484.459915161096"/>
    <n v="1150.8596495744"/>
  </r>
  <r>
    <n v="73"/>
    <x v="72"/>
    <s v="H46"/>
    <d v="2018-06-25T00:00:00"/>
    <n v="2018"/>
    <n v="15.897296851018501"/>
    <s v="ARBROATH ROAD, LINLATHEN"/>
    <n v="346394"/>
    <n v="733242"/>
    <x v="1"/>
    <s v="Under Construction"/>
    <s v="KIRKWOOD HOMES"/>
    <s v="Private"/>
    <s v="18/00115/FULM, 19/00799/FULM, 21/00322/FULL, 21/00376/FULL, 21/00677/FULL, 21/00713/FULL"/>
    <d v="2021-01-07T00:00:00"/>
    <s v="15/00658/DOM1, 20/00388/DOM1, 21/00111/DOM1, 21/00433/DOM1, 21/00672/DOM1"/>
    <m/>
    <x v="1"/>
    <s v="No"/>
    <s v="No"/>
    <n v="250"/>
    <n v="0"/>
    <n v="250"/>
    <n v="0"/>
    <n v="39"/>
    <n v="224"/>
    <n v="0.89600000000000002"/>
    <n v="26"/>
    <n v="26"/>
    <n v="0"/>
    <n v="0"/>
    <n v="0"/>
    <n v="0"/>
    <n v="0"/>
    <n v="0"/>
    <n v="0"/>
    <n v="0"/>
    <n v="0"/>
    <n v="0"/>
    <n v="26"/>
    <n v="158972.968399048"/>
    <n v="2189.7818950441401"/>
  </r>
  <r>
    <n v="74"/>
    <x v="73"/>
    <m/>
    <d v="2019-04-17T00:00:00"/>
    <n v="2019"/>
    <n v="6.8308810688229499E-2"/>
    <s v="MURRAYGATE, 11-23"/>
    <n v="340422"/>
    <n v="730416"/>
    <x v="1"/>
    <s v="Under Construction"/>
    <s v="HILLCREST HA"/>
    <s v="RSL"/>
    <s v="18/01012/FULL"/>
    <d v="2019-04-17T00:00:00"/>
    <s v="21/00072/DOM1"/>
    <m/>
    <x v="0"/>
    <s v="No"/>
    <s v="Yes"/>
    <n v="31"/>
    <n v="0"/>
    <n v="0"/>
    <n v="31"/>
    <n v="0"/>
    <n v="0"/>
    <n v="0"/>
    <n v="31"/>
    <n v="31"/>
    <n v="0"/>
    <n v="0"/>
    <n v="0"/>
    <n v="0"/>
    <n v="0"/>
    <n v="0"/>
    <n v="0"/>
    <n v="0"/>
    <n v="0"/>
    <n v="0"/>
    <n v="31"/>
    <n v="683.08811950683605"/>
    <n v="106.791139658728"/>
  </r>
  <r>
    <n v="75"/>
    <x v="74"/>
    <m/>
    <d v="2019-05-28T00:00:00"/>
    <n v="2019"/>
    <n v="6.4485811115182701"/>
    <s v="LIFF HOSPITAL"/>
    <n v="334641"/>
    <n v="732800"/>
    <x v="1"/>
    <s v="Site Complete"/>
    <s v="MILLER HOMES"/>
    <s v="Private"/>
    <s v="18/00406/FULL, 18/00407/FULL"/>
    <d v="2019-05-28T00:00:00"/>
    <s v="18/00564/DOM1"/>
    <d v="2023-06-06T00:00:00"/>
    <x v="0"/>
    <s v="No"/>
    <s v="Yes"/>
    <n v="54"/>
    <n v="0"/>
    <n v="54"/>
    <n v="0"/>
    <n v="1"/>
    <n v="54"/>
    <n v="1"/>
    <n v="0"/>
    <n v="0"/>
    <n v="0"/>
    <n v="0"/>
    <n v="0"/>
    <n v="0"/>
    <n v="0"/>
    <n v="0"/>
    <n v="0"/>
    <n v="0"/>
    <m/>
    <n v="0"/>
    <n v="1"/>
    <n v="64485.811218261697"/>
    <n v="1584.9509297847801"/>
  </r>
  <r>
    <n v="76"/>
    <x v="75"/>
    <m/>
    <d v="2019-10-25T00:00:00"/>
    <n v="2019"/>
    <n v="0.21775256961235401"/>
    <s v="PITKERRO MILL"/>
    <n v="345105"/>
    <n v="733477"/>
    <x v="2"/>
    <s v="Site Complete"/>
    <s v="DEWLOR DEVELOPMENTS"/>
    <s v="Private"/>
    <s v="19/00560/FULL, 23/00238/FULL"/>
    <d v="2023-02-08T00:00:00"/>
    <s v="19/00493/DOM1"/>
    <d v="2024-03-25T00:00:00"/>
    <x v="0"/>
    <s v="No"/>
    <s v="Yes"/>
    <n v="2"/>
    <n v="0"/>
    <n v="2"/>
    <n v="0"/>
    <n v="2"/>
    <n v="2"/>
    <n v="1"/>
    <n v="0"/>
    <n v="0"/>
    <n v="0"/>
    <n v="0"/>
    <n v="0"/>
    <n v="0"/>
    <n v="0"/>
    <n v="0"/>
    <n v="0"/>
    <n v="0"/>
    <m/>
    <n v="0"/>
    <n v="0"/>
    <n v="2177.5257110595699"/>
    <n v="337.68496804228698"/>
  </r>
  <r>
    <n v="77"/>
    <x v="76"/>
    <m/>
    <d v="2019-12-18T00:00:00"/>
    <n v="2019"/>
    <n v="2.88165224886139"/>
    <s v="KINGSWAY EAST, FORMER STEWART HOUSE"/>
    <n v="342852"/>
    <n v="731829"/>
    <x v="1"/>
    <s v="Under Construction"/>
    <s v="PERSIMMON HOMES"/>
    <s v="Private"/>
    <s v="19/00687/FULM, 23/00449/FULL"/>
    <d v="2023-07-09T00:00:00"/>
    <s v="19/00581/DOM1"/>
    <m/>
    <x v="0"/>
    <s v="No"/>
    <s v="Yes"/>
    <n v="71"/>
    <n v="0"/>
    <n v="71"/>
    <n v="0"/>
    <n v="0"/>
    <n v="0"/>
    <n v="0"/>
    <n v="71"/>
    <n v="36"/>
    <n v="35"/>
    <n v="0"/>
    <n v="0"/>
    <n v="0"/>
    <n v="0"/>
    <n v="0"/>
    <n v="0"/>
    <n v="0"/>
    <n v="0"/>
    <n v="0"/>
    <n v="71"/>
    <n v="28816.522537231402"/>
    <n v="965.37028298789505"/>
  </r>
  <r>
    <n v="78"/>
    <x v="77"/>
    <m/>
    <d v="2020-01-23T00:00:00"/>
    <n v="2020"/>
    <n v="0.213622512135589"/>
    <s v="BUTTARS LOAN, SITE TO THE EAST"/>
    <n v="336795"/>
    <n v="731616"/>
    <x v="1"/>
    <s v="Under Construction"/>
    <s v="GREEN PADS LTD"/>
    <s v="Private"/>
    <s v="19/00246/FULL"/>
    <d v="2020-01-23T00:00:00"/>
    <s v="20/00144/DOM1"/>
    <m/>
    <x v="0"/>
    <s v="No"/>
    <s v="Yes"/>
    <n v="8"/>
    <n v="0"/>
    <n v="8"/>
    <n v="0"/>
    <n v="0"/>
    <n v="0"/>
    <n v="0"/>
    <n v="8"/>
    <n v="4"/>
    <n v="4"/>
    <n v="0"/>
    <n v="0"/>
    <n v="0"/>
    <n v="0"/>
    <n v="0"/>
    <n v="0"/>
    <n v="0"/>
    <n v="0"/>
    <n v="0"/>
    <n v="8"/>
    <n v="2136.2251586914099"/>
    <n v="187.853016491978"/>
  </r>
  <r>
    <n v="79"/>
    <x v="78"/>
    <m/>
    <d v="2020-01-31T00:00:00"/>
    <n v="2020"/>
    <n v="5.1985297933219203E-2"/>
    <s v="ROCKFIELD CRESCENT, 7, LAND TO NORTH"/>
    <n v="338252"/>
    <n v="730106"/>
    <x v="2"/>
    <s v="Planning Consent"/>
    <s v="PRIVATE"/>
    <s v="Private"/>
    <s v="19/00914/PPPL, 23/00511/PPPL"/>
    <d v="2023-09-29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519.85299682617199"/>
    <n v="93.918066082835097"/>
  </r>
  <r>
    <n v="80"/>
    <x v="79"/>
    <s v="H29"/>
    <d v="2017-10-16T00:00:00"/>
    <n v="2017"/>
    <n v="2.1475714806722399"/>
    <s v="SUMMERFIELD GARDENS NORTH"/>
    <n v="343648"/>
    <n v="733206"/>
    <x v="1"/>
    <s v="Site Complete"/>
    <s v="INVERTAY HOMES"/>
    <s v="Private"/>
    <s v="17/00307/FULL"/>
    <d v="2017-10-16T00:00:00"/>
    <s v="17/00650/DOM1"/>
    <d v="2023-09-29T00:00:00"/>
    <x v="0"/>
    <s v="No"/>
    <s v="No"/>
    <n v="43"/>
    <n v="3"/>
    <n v="40"/>
    <n v="0"/>
    <n v="3"/>
    <n v="40"/>
    <n v="0.93023255813953487"/>
    <n v="0"/>
    <n v="0"/>
    <n v="0"/>
    <n v="0"/>
    <n v="0"/>
    <n v="0"/>
    <n v="0"/>
    <n v="0"/>
    <n v="0"/>
    <n v="0"/>
    <m/>
    <n v="0"/>
    <n v="3"/>
    <n v="21475.714965820302"/>
    <n v="672.49276973122505"/>
  </r>
  <r>
    <n v="81"/>
    <x v="80"/>
    <m/>
    <d v="2020-01-05T00:00:00"/>
    <n v="2020"/>
    <n v="0.31928678045299103"/>
    <s v="EAST SCHOOL ROAD, DOWNFIELD HOUSE"/>
    <n v="339035"/>
    <n v="733033"/>
    <x v="1"/>
    <s v="Under Construction"/>
    <s v="ABERKELL DEVELOPMENTS"/>
    <s v="Private"/>
    <s v="19/00830/FULL, 22/0024/NMV"/>
    <d v="2020-01-05T00:00:00"/>
    <s v="21/00094/DOM1, 21/00172/DOM1"/>
    <m/>
    <x v="0"/>
    <s v="No"/>
    <s v="Yes"/>
    <n v="14"/>
    <n v="0"/>
    <n v="2"/>
    <n v="12"/>
    <n v="2"/>
    <n v="4"/>
    <n v="0.2857142857142857"/>
    <n v="10"/>
    <n v="10"/>
    <n v="0"/>
    <n v="0"/>
    <n v="0"/>
    <n v="0"/>
    <n v="0"/>
    <n v="0"/>
    <n v="0"/>
    <n v="0"/>
    <n v="0"/>
    <n v="0"/>
    <n v="10"/>
    <n v="3192.8678283691402"/>
    <n v="254.915360640887"/>
  </r>
  <r>
    <n v="82"/>
    <x v="81"/>
    <s v="H17"/>
    <d v="2020-10-16T00:00:00"/>
    <n v="2020"/>
    <n v="0.37882461969092501"/>
    <s v="DOCK STREET, HARBOUR CHAMBERS / CUSTOMS HOUSE"/>
    <n v="340688"/>
    <n v="730304"/>
    <x v="1"/>
    <s v="Under Construction"/>
    <s v="ALICYDON LTD"/>
    <s v="Private"/>
    <s v="20/00399/FULL"/>
    <d v="2020-10-16T00:00:00"/>
    <s v="22/00142/DOM1"/>
    <m/>
    <x v="0"/>
    <s v="No"/>
    <s v="Yes"/>
    <n v="49"/>
    <n v="0"/>
    <n v="0"/>
    <n v="49"/>
    <n v="0"/>
    <n v="0"/>
    <n v="0"/>
    <n v="49"/>
    <n v="0"/>
    <n v="0"/>
    <n v="0"/>
    <n v="20"/>
    <n v="29"/>
    <n v="0"/>
    <n v="0"/>
    <n v="0"/>
    <n v="0"/>
    <n v="0"/>
    <n v="0"/>
    <n v="49"/>
    <n v="3788.2461395263699"/>
    <n v="263.97424497644897"/>
  </r>
  <r>
    <n v="83"/>
    <x v="82"/>
    <m/>
    <d v="2020-12-14T00:00:00"/>
    <n v="2020"/>
    <n v="8.3428379666783195E-2"/>
    <s v="CONSTABLE STREET, LOWER DENS WORKS, BLOCK G"/>
    <n v="340826"/>
    <n v="730806"/>
    <x v="1"/>
    <s v="Consent Expired"/>
    <s v="STABLES DEVELOPMENT LLP"/>
    <s v="Private"/>
    <s v="20/00572/FULL"/>
    <d v="2020-12-14T00:00:00"/>
    <m/>
    <d v="2023-12-14T00:00:00"/>
    <x v="0"/>
    <s v="No"/>
    <s v="Yes"/>
    <n v="24"/>
    <n v="0"/>
    <n v="0"/>
    <n v="24"/>
    <n v="0"/>
    <n v="0"/>
    <n v="0"/>
    <n v="24"/>
    <n v="0"/>
    <n v="24"/>
    <n v="0"/>
    <n v="0"/>
    <n v="0"/>
    <n v="0"/>
    <n v="0"/>
    <n v="0"/>
    <n v="0"/>
    <m/>
    <n v="0"/>
    <n v="24"/>
    <n v="834.28379821777298"/>
    <n v="125.765746171789"/>
  </r>
  <r>
    <n v="84"/>
    <x v="83"/>
    <m/>
    <d v="2020-06-11T00:00:00"/>
    <n v="2020"/>
    <n v="1.28917955028999E-2"/>
    <s v="BROWN STREET, 75/77, BROUGHTY FERRY"/>
    <n v="346017"/>
    <n v="730834"/>
    <x v="2"/>
    <s v="Planning Consent"/>
    <s v="PRIVATE"/>
    <s v="Private"/>
    <s v="20/00529/PPPL, 22/00547/FULL"/>
    <d v="2022-11-18T00:00:00"/>
    <m/>
    <m/>
    <x v="0"/>
    <s v="No"/>
    <s v="Yes"/>
    <n v="2"/>
    <n v="0"/>
    <n v="0"/>
    <n v="2"/>
    <n v="0"/>
    <n v="0"/>
    <n v="0"/>
    <n v="2"/>
    <n v="0"/>
    <n v="0"/>
    <n v="0"/>
    <n v="0"/>
    <n v="0"/>
    <n v="0"/>
    <n v="0"/>
    <n v="0"/>
    <n v="0"/>
    <m/>
    <n v="0"/>
    <n v="0"/>
    <n v="128.91795349121099"/>
    <n v="48.137243119111503"/>
  </r>
  <r>
    <n v="85"/>
    <x v="84"/>
    <m/>
    <d v="2020-11-26T00:00:00"/>
    <n v="2020"/>
    <n v="1.06183566749707E-2"/>
    <s v="VICTORIA ROAD, 10,G1 VICTORIA CHAMBERS"/>
    <n v="340214"/>
    <n v="730670"/>
    <x v="2"/>
    <s v="Under Construction"/>
    <s v="TAYSIDE PROPERTY MANAGEMENT"/>
    <s v="Private"/>
    <s v="20/00133/FULL"/>
    <d v="2020-11-26T00:00:00"/>
    <s v="20/00641/DOM1"/>
    <m/>
    <x v="0"/>
    <s v="No"/>
    <s v="Yes"/>
    <n v="1"/>
    <n v="0"/>
    <n v="0"/>
    <n v="1"/>
    <n v="0"/>
    <n v="0"/>
    <n v="0"/>
    <n v="1"/>
    <n v="0"/>
    <n v="0"/>
    <n v="0"/>
    <n v="0"/>
    <n v="0"/>
    <n v="0"/>
    <n v="0"/>
    <n v="0"/>
    <n v="0"/>
    <m/>
    <n v="0"/>
    <n v="0"/>
    <n v="106.183547973633"/>
    <n v="47.324984681442302"/>
  </r>
  <r>
    <n v="86"/>
    <x v="85"/>
    <m/>
    <d v="2020-11-12T00:00:00"/>
    <n v="2020"/>
    <n v="1.81250479123202E-2"/>
    <s v="MURRAYGATE, 39, 1/0"/>
    <n v="340421"/>
    <n v="730459"/>
    <x v="2"/>
    <s v="Under Construction"/>
    <s v="CASA FRESA HOLDINGS LLP"/>
    <s v="Private"/>
    <s v="20/00509/FULL"/>
    <d v="2020-11-12T00:00:00"/>
    <s v="21/00100/DOM1"/>
    <m/>
    <x v="0"/>
    <s v="No"/>
    <s v="Yes"/>
    <n v="3"/>
    <n v="0"/>
    <n v="0"/>
    <n v="3"/>
    <n v="0"/>
    <n v="0"/>
    <n v="0"/>
    <n v="3"/>
    <n v="0"/>
    <n v="0"/>
    <n v="0"/>
    <n v="0"/>
    <n v="0"/>
    <n v="0"/>
    <n v="0"/>
    <n v="0"/>
    <n v="0"/>
    <m/>
    <n v="0"/>
    <n v="0"/>
    <n v="181.25053405761699"/>
    <n v="68.904840723583206"/>
  </r>
  <r>
    <n v="87"/>
    <x v="86"/>
    <m/>
    <d v="2021-06-01T00:00:00"/>
    <n v="2021"/>
    <n v="1.2995607863714899E-2"/>
    <s v="HILLTOWN, 245"/>
    <n v="340051"/>
    <n v="731225"/>
    <x v="2"/>
    <s v="Consent Expired"/>
    <s v="PRIVATE"/>
    <s v="Private"/>
    <s v="20/00631/FULL"/>
    <d v="2021-06-01T00:00:00"/>
    <m/>
    <m/>
    <x v="0"/>
    <s v="No"/>
    <s v="Yes"/>
    <n v="1"/>
    <n v="0"/>
    <n v="0"/>
    <n v="1"/>
    <n v="0"/>
    <n v="0"/>
    <n v="0"/>
    <n v="1"/>
    <n v="0"/>
    <n v="0"/>
    <n v="0"/>
    <n v="0"/>
    <n v="0"/>
    <n v="0"/>
    <n v="0"/>
    <n v="0"/>
    <n v="0"/>
    <m/>
    <n v="0"/>
    <n v="0"/>
    <n v="129.95610046386699"/>
    <n v="62.080961864470503"/>
  </r>
  <r>
    <n v="88"/>
    <x v="87"/>
    <m/>
    <d v="2021-01-13T00:00:00"/>
    <n v="2021"/>
    <n v="2.5383307258967699E-2"/>
    <s v="COMMERCIAL STREET, 84, 2/1"/>
    <n v="340337"/>
    <n v="730395"/>
    <x v="2"/>
    <s v="Consent Expired"/>
    <s v="CARDROSS ESTATES"/>
    <s v="Private"/>
    <s v="20/00612/FULL"/>
    <d v="2021-01-13T00:00:00"/>
    <m/>
    <d v="2024-01-13T00:00:00"/>
    <x v="0"/>
    <s v="No"/>
    <s v="Yes"/>
    <n v="1"/>
    <n v="0"/>
    <n v="0"/>
    <n v="1"/>
    <n v="0"/>
    <n v="0"/>
    <n v="0"/>
    <n v="1"/>
    <n v="0"/>
    <n v="0"/>
    <n v="0"/>
    <n v="0"/>
    <n v="0"/>
    <n v="0"/>
    <n v="0"/>
    <n v="0"/>
    <n v="0"/>
    <m/>
    <n v="0"/>
    <n v="0"/>
    <n v="253.83306884765599"/>
    <n v="65.140274642517198"/>
  </r>
  <r>
    <n v="89"/>
    <x v="88"/>
    <m/>
    <d v="2020-10-07T00:00:00"/>
    <n v="2020"/>
    <n v="0.73951974334052895"/>
    <s v="PITKERRO ROAD, 114-116, LAND AT"/>
    <n v="342347"/>
    <n v="732643"/>
    <x v="1"/>
    <s v="Under Construction"/>
    <s v="ANGUS HA"/>
    <s v="RSL"/>
    <s v="20/00052/FULL, 20/00777/FULL"/>
    <d v="2021-02-02T00:00:00"/>
    <s v="20/00411/DOM1"/>
    <m/>
    <x v="0"/>
    <s v="No"/>
    <s v="Yes"/>
    <n v="21"/>
    <n v="0"/>
    <n v="13"/>
    <n v="8"/>
    <n v="0"/>
    <n v="0"/>
    <n v="0"/>
    <n v="21"/>
    <n v="21"/>
    <n v="0"/>
    <n v="0"/>
    <n v="0"/>
    <n v="0"/>
    <n v="0"/>
    <n v="0"/>
    <n v="0"/>
    <n v="0"/>
    <n v="0"/>
    <n v="0"/>
    <n v="21"/>
    <n v="7395.1974639892596"/>
    <n v="363.72801977165"/>
  </r>
  <r>
    <n v="90"/>
    <x v="89"/>
    <m/>
    <d v="2021-10-02T00:00:00"/>
    <n v="2021"/>
    <n v="0.115040147601875"/>
    <s v="CAENLOCHAN ROAD, 4"/>
    <n v="345098"/>
    <n v="731659"/>
    <x v="2"/>
    <s v="Under Construction"/>
    <s v="PRIVATE"/>
    <s v="Private"/>
    <s v="20/00625/FULL"/>
    <d v="2021-10-02T00:00:00"/>
    <s v="23/00244/DOM2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150.4014434814501"/>
    <n v="136.38453725142901"/>
  </r>
  <r>
    <n v="91"/>
    <x v="90"/>
    <m/>
    <d v="2021-02-18T00:00:00"/>
    <n v="2021"/>
    <n v="2.1981516155610499"/>
    <s v="MURRAYFIELD PLACE, MURRAYFIELD DRIVE, WHITFIELD AVENUE"/>
    <n v="343109"/>
    <n v="732956"/>
    <x v="1"/>
    <s v="Planning Consent"/>
    <s v="DUNDEE CITY COUNCIL"/>
    <s v="Local Authority"/>
    <s v="20/00064/FULL, 22/00239/FULL"/>
    <d v="2022-07-25T00:00:00"/>
    <s v="22/00293/DOM1"/>
    <m/>
    <x v="0"/>
    <s v="No"/>
    <s v="Yes"/>
    <n v="42"/>
    <n v="0"/>
    <n v="10"/>
    <n v="32"/>
    <n v="0"/>
    <n v="0"/>
    <n v="0"/>
    <n v="42"/>
    <n v="0"/>
    <n v="22"/>
    <n v="20"/>
    <n v="0"/>
    <n v="0"/>
    <n v="0"/>
    <n v="0"/>
    <n v="0"/>
    <n v="0"/>
    <n v="0"/>
    <n v="0"/>
    <n v="42"/>
    <n v="21981.516143798799"/>
    <n v="1830.4645045964201"/>
  </r>
  <r>
    <n v="92"/>
    <x v="91"/>
    <m/>
    <d v="2021-09-03T00:00:00"/>
    <n v="2021"/>
    <n v="8.0351901400473699E-2"/>
    <s v="WEST BELL STREET, 1A"/>
    <n v="340006"/>
    <n v="730465"/>
    <x v="2"/>
    <s v="Consent Expired"/>
    <s v="PRIVATE"/>
    <s v="Private"/>
    <s v="20/00644/FULL"/>
    <d v="2021-09-03T00:00:00"/>
    <m/>
    <d v="2024-09-03T00:00:00"/>
    <x v="0"/>
    <s v="No"/>
    <s v="Yes"/>
    <n v="3"/>
    <n v="0"/>
    <n v="0"/>
    <n v="3"/>
    <n v="0"/>
    <n v="0"/>
    <n v="0"/>
    <n v="3"/>
    <n v="0"/>
    <n v="0"/>
    <n v="0"/>
    <n v="0"/>
    <n v="0"/>
    <n v="0"/>
    <n v="0"/>
    <n v="0"/>
    <n v="0"/>
    <m/>
    <n v="0"/>
    <n v="0"/>
    <n v="803.51901245117199"/>
    <n v="126.711214753731"/>
  </r>
  <r>
    <n v="93"/>
    <x v="92"/>
    <m/>
    <d v="2021-03-22T00:00:00"/>
    <n v="2021"/>
    <n v="3.5304214700459399E-2"/>
    <s v="TANNADICE STREET - 28-30, COURT STREET - 32"/>
    <n v="340729"/>
    <n v="731660"/>
    <x v="1"/>
    <s v="Consent Expired"/>
    <s v="ARB PROPERTIES"/>
    <s v="Private"/>
    <s v="19/00925/FULL, 20/00784/FULL"/>
    <d v="2021-03-22T00:00:00"/>
    <m/>
    <d v="2024-03-22T00:00:00"/>
    <x v="0"/>
    <s v="No"/>
    <s v="Yes"/>
    <n v="7"/>
    <n v="0"/>
    <n v="0"/>
    <n v="7"/>
    <n v="0"/>
    <n v="0"/>
    <n v="0"/>
    <n v="7"/>
    <n v="0"/>
    <n v="0"/>
    <n v="7"/>
    <n v="0"/>
    <n v="0"/>
    <n v="0"/>
    <n v="0"/>
    <n v="0"/>
    <n v="0"/>
    <m/>
    <n v="0"/>
    <n v="7"/>
    <n v="353.04216003417997"/>
    <n v="84.2363166550155"/>
  </r>
  <r>
    <n v="94"/>
    <x v="93"/>
    <m/>
    <d v="2020-10-22T00:00:00"/>
    <n v="2020"/>
    <n v="0.224147459484833"/>
    <s v="DALKEITH ROAD, 69"/>
    <n v="341712"/>
    <n v="731577"/>
    <x v="1"/>
    <s v="Under Construction"/>
    <s v="MARVEND LTD"/>
    <s v="Private"/>
    <s v="19/00026/FULL, 20/00142/FULL"/>
    <d v="2020-10-22T00:00:00"/>
    <s v="21/00103/DOM2"/>
    <m/>
    <x v="0"/>
    <s v="No"/>
    <s v="Yes"/>
    <n v="4"/>
    <n v="0"/>
    <n v="1"/>
    <n v="3"/>
    <n v="0"/>
    <n v="0"/>
    <n v="0"/>
    <n v="4"/>
    <n v="0"/>
    <n v="4"/>
    <n v="0"/>
    <n v="0"/>
    <n v="0"/>
    <n v="0"/>
    <n v="0"/>
    <n v="0"/>
    <n v="0"/>
    <n v="0"/>
    <n v="0"/>
    <n v="4"/>
    <n v="2241.47459411621"/>
    <n v="193.22175277864801"/>
  </r>
  <r>
    <n v="95"/>
    <x v="94"/>
    <m/>
    <d v="2020-05-20T00:00:00"/>
    <n v="2020"/>
    <n v="2.7587520728220401E-2"/>
    <s v="DOUGLAS TERRACE, 12"/>
    <n v="339426"/>
    <n v="730922"/>
    <x v="2"/>
    <s v="Site Complete"/>
    <s v="PRIVATE"/>
    <s v="Private"/>
    <s v="16/00702/FULL, 20/00143/FULL"/>
    <d v="2020-05-20T00:00:00"/>
    <s v="21/00464/DOM2"/>
    <d v="2024-01-30T00:00:00"/>
    <x v="0"/>
    <s v="No"/>
    <s v="Yes"/>
    <n v="1"/>
    <n v="0"/>
    <n v="1"/>
    <n v="0"/>
    <n v="1"/>
    <n v="1"/>
    <n v="1"/>
    <n v="0"/>
    <n v="0"/>
    <n v="0"/>
    <n v="0"/>
    <n v="0"/>
    <n v="0"/>
    <n v="0"/>
    <n v="0"/>
    <n v="0"/>
    <n v="0"/>
    <m/>
    <n v="0"/>
    <n v="0"/>
    <n v="275.87521362304699"/>
    <n v="79.471623998033607"/>
  </r>
  <r>
    <n v="96"/>
    <x v="95"/>
    <m/>
    <d v="2020-11-18T00:00:00"/>
    <n v="2020"/>
    <n v="0.26634557999645803"/>
    <s v="DALKEITH ROAD, 57"/>
    <n v="341769"/>
    <n v="731399"/>
    <x v="1"/>
    <s v="Planning Consent"/>
    <s v="PRIVATE"/>
    <s v="Private"/>
    <s v="20/00209/FULL"/>
    <d v="2020-11-18T00:00:00"/>
    <s v="23/00055/DOM1"/>
    <m/>
    <x v="0"/>
    <s v="No"/>
    <s v="Yes"/>
    <n v="8"/>
    <n v="0"/>
    <n v="8"/>
    <n v="0"/>
    <n v="0"/>
    <n v="0"/>
    <n v="0"/>
    <n v="8"/>
    <n v="0"/>
    <n v="8"/>
    <n v="0"/>
    <n v="0"/>
    <n v="0"/>
    <n v="0"/>
    <n v="0"/>
    <n v="0"/>
    <n v="0"/>
    <n v="0"/>
    <n v="0"/>
    <n v="8"/>
    <n v="2663.4557800293001"/>
    <n v="209.27847061689999"/>
  </r>
  <r>
    <n v="97"/>
    <x v="96"/>
    <m/>
    <d v="2020-12-17T00:00:00"/>
    <n v="2020"/>
    <n v="0.65834252644961699"/>
    <s v="LIFF PLACE, BROWNHILL PLACE. SITES 1 &amp; 2"/>
    <n v="336499"/>
    <n v="732119"/>
    <x v="1"/>
    <s v="Under Construction"/>
    <s v="BLACKWOOD HOMES &amp; CARE"/>
    <s v="RSL"/>
    <s v="20/00247/FULL"/>
    <d v="2020-12-17T00:00:00"/>
    <s v="20/00622/DOM1"/>
    <m/>
    <x v="0"/>
    <s v="No"/>
    <s v="Yes"/>
    <n v="23"/>
    <n v="0"/>
    <n v="3"/>
    <n v="20"/>
    <n v="0"/>
    <n v="0"/>
    <n v="0"/>
    <n v="23"/>
    <n v="10"/>
    <n v="13"/>
    <n v="0"/>
    <n v="0"/>
    <n v="0"/>
    <n v="0"/>
    <n v="0"/>
    <n v="0"/>
    <n v="0"/>
    <n v="0"/>
    <n v="0"/>
    <n v="23"/>
    <n v="6583.42527770996"/>
    <n v="553.52590004531396"/>
  </r>
  <r>
    <n v="98"/>
    <x v="97"/>
    <m/>
    <d v="2020-12-17T00:00:00"/>
    <n v="2020"/>
    <n v="0.91008645124966503"/>
    <s v="GOURDIE PLACE, GOURDIE CRESCENT, LAND AT. SITES 3 &amp; 4"/>
    <n v="336236"/>
    <n v="731913"/>
    <x v="1"/>
    <s v="Under Construction"/>
    <s v="BLACKWOOD HOMES &amp; CARE"/>
    <s v="RSL"/>
    <s v="20/00248/FULL"/>
    <d v="2020-12-17T00:00:00"/>
    <s v="20/00624/DOM1"/>
    <m/>
    <x v="0"/>
    <s v="No"/>
    <s v="Yes"/>
    <n v="22"/>
    <n v="0"/>
    <n v="10"/>
    <n v="12"/>
    <n v="0"/>
    <n v="0"/>
    <n v="0"/>
    <n v="22"/>
    <n v="10"/>
    <n v="12"/>
    <n v="0"/>
    <n v="0"/>
    <n v="0"/>
    <n v="0"/>
    <n v="0"/>
    <n v="0"/>
    <n v="0"/>
    <n v="0"/>
    <n v="0"/>
    <n v="22"/>
    <n v="9100.8646087646503"/>
    <n v="646.70044773751601"/>
  </r>
  <r>
    <n v="99"/>
    <x v="98"/>
    <m/>
    <d v="2020-12-17T00:00:00"/>
    <n v="2020"/>
    <n v="0.48089059674233497"/>
    <s v="BUTTARS ROAD, LAND TO SOUTH. SITES 5 &amp; 6"/>
    <n v="336603"/>
    <n v="731958"/>
    <x v="1"/>
    <s v="Under Construction"/>
    <s v="BLACKWOOD HOMES &amp; CARE"/>
    <s v="RSL"/>
    <s v="20/00249/FULL"/>
    <d v="2020-12-17T00:00:00"/>
    <s v="20/00623/DOM1"/>
    <m/>
    <x v="0"/>
    <s v="No"/>
    <s v="Yes"/>
    <n v="9"/>
    <n v="0"/>
    <n v="3"/>
    <n v="6"/>
    <n v="0"/>
    <n v="0"/>
    <n v="0"/>
    <n v="9"/>
    <n v="9"/>
    <n v="0"/>
    <n v="0"/>
    <n v="0"/>
    <n v="0"/>
    <n v="0"/>
    <n v="0"/>
    <n v="0"/>
    <n v="0"/>
    <n v="9"/>
    <n v="0"/>
    <n v="9"/>
    <n v="4808.9059295654297"/>
    <n v="435.25991047422701"/>
  </r>
  <r>
    <n v="100"/>
    <x v="99"/>
    <m/>
    <d v="2020-05-21T00:00:00"/>
    <n v="2020"/>
    <n v="1.0199632708328099"/>
    <s v="PITKERRO ROAD, NORTH OF, LONGHAUGH ROAD, EAST OF"/>
    <n v="342795"/>
    <n v="732954"/>
    <x v="1"/>
    <s v="Under Construction"/>
    <s v="LONGHAUGH DEVELOPMENTS LTD"/>
    <s v="Private"/>
    <s v="19/00063/FULL, "/>
    <d v="2020-05-21T00:00:00"/>
    <s v="20/00529/DOM1"/>
    <m/>
    <x v="0"/>
    <s v="No"/>
    <s v="Yes"/>
    <n v="14"/>
    <n v="0"/>
    <n v="14"/>
    <n v="0"/>
    <n v="4"/>
    <n v="12"/>
    <n v="0.8571428571428571"/>
    <n v="2"/>
    <n v="2"/>
    <n v="0"/>
    <n v="0"/>
    <n v="0"/>
    <n v="0"/>
    <n v="0"/>
    <n v="0"/>
    <n v="0"/>
    <n v="0"/>
    <n v="0"/>
    <n v="0"/>
    <n v="2"/>
    <n v="10199.6327514648"/>
    <n v="488.68061123550399"/>
  </r>
  <r>
    <n v="101"/>
    <x v="100"/>
    <m/>
    <d v="2020-05-26T00:00:00"/>
    <n v="2020"/>
    <n v="2.1310919635449899E-2"/>
    <s v="MONIFIETH ROAD, 69, STONELEE GUEST HOUSE"/>
    <n v="346866"/>
    <n v="731047"/>
    <x v="2"/>
    <s v="Under Construction"/>
    <s v="PRIVATE"/>
    <s v="Private"/>
    <s v="20/00148/FULL"/>
    <d v="2020-05-26T00:00:00"/>
    <s v="21/00195/DOM4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213.10922241210901"/>
    <n v="75.3999886974877"/>
  </r>
  <r>
    <n v="102"/>
    <x v="101"/>
    <m/>
    <d v="2020-06-25T00:00:00"/>
    <n v="2020"/>
    <n v="0.96804277228059699"/>
    <s v="VICTORIA ROAD, 1, BROUGHTY FERRY"/>
    <n v="345373"/>
    <n v="731349"/>
    <x v="2"/>
    <s v="Consent Expired"/>
    <s v="PRIVATE"/>
    <s v="Private"/>
    <s v="20/00176/FULL"/>
    <d v="2020-06-25T00:00:00"/>
    <m/>
    <d v="2023-06-25T00:00:00"/>
    <x v="0"/>
    <s v="No"/>
    <s v="Yes"/>
    <n v="3"/>
    <n v="0"/>
    <n v="0"/>
    <n v="3"/>
    <n v="0"/>
    <n v="0"/>
    <n v="0"/>
    <n v="3"/>
    <n v="0"/>
    <n v="0"/>
    <n v="0"/>
    <n v="0"/>
    <n v="0"/>
    <n v="0"/>
    <n v="0"/>
    <n v="0"/>
    <n v="0"/>
    <m/>
    <n v="0"/>
    <n v="0"/>
    <n v="9680.4278106689508"/>
    <n v="498.38201909701303"/>
  </r>
  <r>
    <n v="103"/>
    <x v="102"/>
    <m/>
    <d v="2020-06-25T00:00:00"/>
    <n v="2020"/>
    <n v="0.115366251282605"/>
    <s v="ALBANY ROAD, 39A"/>
    <n v="344896"/>
    <n v="731442"/>
    <x v="2"/>
    <s v="Site Complete"/>
    <s v="PRIVATE"/>
    <s v="Private"/>
    <s v="20/00292/FULL"/>
    <d v="2020-06-25T00:00:00"/>
    <s v="20/00400/DOM4"/>
    <d v="2023-08-17T00:00:00"/>
    <x v="0"/>
    <s v="No"/>
    <s v="Yes"/>
    <n v="2"/>
    <n v="0"/>
    <n v="0"/>
    <n v="2"/>
    <n v="2"/>
    <n v="2"/>
    <n v="1"/>
    <n v="0"/>
    <n v="0"/>
    <n v="0"/>
    <n v="0"/>
    <n v="0"/>
    <n v="0"/>
    <n v="0"/>
    <n v="0"/>
    <n v="0"/>
    <n v="0"/>
    <m/>
    <n v="0"/>
    <n v="2"/>
    <n v="1153.6625518798801"/>
    <n v="180.68104904253201"/>
  </r>
  <r>
    <n v="104"/>
    <x v="103"/>
    <m/>
    <d v="2020-07-30T00:00:00"/>
    <n v="2020"/>
    <n v="0.12902400659252999"/>
    <s v="GELLATLY STREET, 3"/>
    <n v="340610"/>
    <n v="730351"/>
    <x v="1"/>
    <s v="Under Construction"/>
    <s v="MCGILL (DOCK STREET) LTD"/>
    <s v="Private"/>
    <s v="19/00502/FULL, 21/00215/FULL"/>
    <d v="2021-07-12T00:00:00"/>
    <s v="22/00215/DOM1"/>
    <m/>
    <x v="0"/>
    <s v="No"/>
    <s v="Yes"/>
    <n v="49"/>
    <n v="0"/>
    <n v="0"/>
    <n v="49"/>
    <n v="0"/>
    <n v="0"/>
    <n v="0"/>
    <n v="49"/>
    <n v="0"/>
    <n v="49"/>
    <n v="0"/>
    <n v="0"/>
    <n v="0"/>
    <n v="0"/>
    <n v="0"/>
    <n v="0"/>
    <n v="0"/>
    <n v="0"/>
    <n v="0"/>
    <n v="49"/>
    <n v="1290.2400665283201"/>
    <n v="186.30286257311101"/>
  </r>
  <r>
    <n v="105"/>
    <x v="104"/>
    <m/>
    <d v="2020-07-31T00:00:00"/>
    <n v="2020"/>
    <n v="0.21123085345040499"/>
    <s v="PITKERRO MILL"/>
    <n v="345088"/>
    <n v="733487"/>
    <x v="2"/>
    <s v="Under Construction"/>
    <s v="A&amp;G PROPERTIES"/>
    <s v="Private"/>
    <s v="19/00861/FULL"/>
    <d v="2020-07-31T00:00:00"/>
    <s v="20/00248/DOM2"/>
    <m/>
    <x v="0"/>
    <s v="No"/>
    <s v="Yes"/>
    <n v="2"/>
    <n v="0"/>
    <n v="2"/>
    <n v="0"/>
    <n v="0"/>
    <n v="0"/>
    <n v="0"/>
    <n v="2"/>
    <n v="0"/>
    <n v="0"/>
    <n v="0"/>
    <n v="0"/>
    <n v="0"/>
    <n v="0"/>
    <n v="0"/>
    <n v="0"/>
    <n v="0"/>
    <m/>
    <n v="0"/>
    <n v="0"/>
    <n v="2112.3085021972702"/>
    <n v="402.722166074521"/>
  </r>
  <r>
    <n v="106"/>
    <x v="105"/>
    <m/>
    <d v="2020-07-31T00:00:00"/>
    <n v="2020"/>
    <n v="2.5906447766033801E-2"/>
    <s v="SYMERS STREET, LAND TO EAST OF 6"/>
    <n v="338543"/>
    <n v="734031"/>
    <x v="2"/>
    <s v="Planning Consent"/>
    <s v="PRIVATE"/>
    <s v="Private"/>
    <s v="20/00232/FULL, 23/00474/FULL"/>
    <d v="2023-09-29T00:00:00"/>
    <s v="22/00184/DOM2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259.064453125"/>
    <n v="67.270312823089199"/>
  </r>
  <r>
    <n v="107"/>
    <x v="106"/>
    <m/>
    <d v="2020-01-09T00:00:00"/>
    <n v="2020"/>
    <n v="0.207923235688383"/>
    <s v="FAIRFIELD ROAD, 10"/>
    <n v="344602"/>
    <n v="731449"/>
    <x v="1"/>
    <s v="Under Construction"/>
    <s v="WEST DEVELOPMENTS (SCOTLAND) LTD"/>
    <s v="Private"/>
    <s v="20/00160/FULL, 21/00651/FULL, "/>
    <d v="2021-11-11T00:00:00"/>
    <s v="22/00129/DOM1"/>
    <m/>
    <x v="0"/>
    <s v="No"/>
    <s v="Yes"/>
    <n v="4"/>
    <n v="0"/>
    <n v="0"/>
    <n v="4"/>
    <n v="1"/>
    <n v="1"/>
    <n v="0.25"/>
    <n v="3"/>
    <n v="4"/>
    <n v="0"/>
    <n v="0"/>
    <n v="0"/>
    <n v="0"/>
    <n v="0"/>
    <n v="0"/>
    <n v="0"/>
    <n v="0"/>
    <n v="0"/>
    <n v="0"/>
    <n v="3"/>
    <n v="2079.2323455810501"/>
    <n v="206.96526268647301"/>
  </r>
  <r>
    <n v="108"/>
    <x v="107"/>
    <m/>
    <d v="2020-02-09T00:00:00"/>
    <n v="2020"/>
    <n v="0.20667291849800601"/>
    <s v="FAIRFIELD ROAD, 10"/>
    <n v="344619"/>
    <n v="731407"/>
    <x v="2"/>
    <s v="Site Complete"/>
    <s v="WEST DEVELOPMENTS (SCOTLAND) LTD"/>
    <s v="Private"/>
    <s v="20/00162/FULL, 21/00702/FULL, 22/00367/FULL"/>
    <d v="2022-07-29T00:00:00"/>
    <s v="21/00850/DOM1"/>
    <d v="2023-04-04T00:00:00"/>
    <x v="0"/>
    <s v="No"/>
    <s v="Yes"/>
    <n v="2"/>
    <n v="0"/>
    <n v="2"/>
    <n v="0"/>
    <n v="1"/>
    <n v="2"/>
    <n v="1"/>
    <n v="0"/>
    <n v="0"/>
    <n v="0"/>
    <n v="0"/>
    <n v="0"/>
    <n v="0"/>
    <n v="0"/>
    <n v="0"/>
    <n v="0"/>
    <n v="0"/>
    <m/>
    <n v="0"/>
    <n v="0"/>
    <n v="2066.7292175293001"/>
    <n v="193.81277426855601"/>
  </r>
  <r>
    <n v="109"/>
    <x v="108"/>
    <m/>
    <d v="2020-04-09T00:00:00"/>
    <n v="2020"/>
    <n v="4.9832625690476202E-2"/>
    <s v="ADELAIDE PLACE, BOWLING GREEN, LAND TO WEST"/>
    <n v="339508"/>
    <n v="731114"/>
    <x v="2"/>
    <s v="Planning Consent"/>
    <s v="PRIVATE"/>
    <s v="Private"/>
    <s v="20/00310/PPPL, 23/00314/FULL "/>
    <d v="2023-08-28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498.32621765136702"/>
    <n v="96.063965514648501"/>
  </r>
  <r>
    <n v="110"/>
    <x v="109"/>
    <m/>
    <d v="2020-08-31T00:00:00"/>
    <n v="2020"/>
    <n v="9.5213958887871604E-3"/>
    <s v="ERSKINE STREET, 20"/>
    <n v="340962"/>
    <n v="731134"/>
    <x v="2"/>
    <s v="Consent Expired"/>
    <s v="PRIVATE"/>
    <s v="Private"/>
    <s v="20/00365/FULL"/>
    <d v="2020-08-31T00:00:00"/>
    <m/>
    <d v="2023-08-31T00:00:00"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95.213958740234403"/>
    <n v="42.753533590786397"/>
  </r>
  <r>
    <n v="111"/>
    <x v="110"/>
    <m/>
    <d v="2020-02-10T00:00:00"/>
    <n v="2020"/>
    <n v="0.13039115152335501"/>
    <s v="ALBANY ROAD, 50, GARDEN GROUND TO SOUTH"/>
    <n v="344782"/>
    <n v="731354"/>
    <x v="2"/>
    <s v="Planning Consent"/>
    <s v="PRIVATE"/>
    <s v="Private"/>
    <s v="20/00289/PPPL, 23/00839/PPPL"/>
    <d v="2024-02-02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303.9115447997999"/>
    <n v="240.91158737507499"/>
  </r>
  <r>
    <n v="112"/>
    <x v="111"/>
    <m/>
    <d v="2020-10-11T00:00:00"/>
    <n v="2020"/>
    <n v="4.70114258611617E-2"/>
    <s v="SPRINGHILL, 13"/>
    <n v="341571"/>
    <n v="731090"/>
    <x v="2"/>
    <s v="Under Construction"/>
    <s v="PRIVATE"/>
    <s v="Private"/>
    <s v="20/00459/FULL"/>
    <d v="2020-10-11T00:00:00"/>
    <s v="20/00540/DOM4"/>
    <d v="2023-10-11T00:00:00"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470.1142578125"/>
    <n v="88.634371270327904"/>
  </r>
  <r>
    <n v="113"/>
    <x v="112"/>
    <m/>
    <d v="2020-12-11T00:00:00"/>
    <n v="2020"/>
    <n v="0.13096951666395401"/>
    <s v="DUDHOPE TERRACE, 9"/>
    <n v="339435"/>
    <n v="730892"/>
    <x v="2"/>
    <s v="Under Construction"/>
    <s v="PRIVATE"/>
    <s v="Private"/>
    <s v="20/00548/FULL"/>
    <d v="2020-12-11T00:00:00"/>
    <s v="20/00512/DOM4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309.6951751709"/>
    <n v="154.418145725763"/>
  </r>
  <r>
    <n v="114"/>
    <x v="113"/>
    <m/>
    <d v="2020-11-08T00:00:00"/>
    <n v="2020"/>
    <n v="1.27992573993302E-2"/>
    <s v="NETHERGATE, 138, BASEMENT"/>
    <n v="340057"/>
    <n v="729953"/>
    <x v="2"/>
    <s v="Under Construction"/>
    <s v="PRIVATE"/>
    <s v="Private"/>
    <s v="20/00343/FULL"/>
    <d v="2020-11-08T00:00:00"/>
    <s v="20/00563/DOM2"/>
    <m/>
    <x v="0"/>
    <s v="No"/>
    <s v="Yes"/>
    <n v="1"/>
    <n v="0"/>
    <n v="0"/>
    <n v="1"/>
    <n v="0"/>
    <n v="0"/>
    <n v="0"/>
    <n v="1"/>
    <n v="0"/>
    <n v="0"/>
    <n v="0"/>
    <n v="0"/>
    <n v="0"/>
    <n v="0"/>
    <n v="0"/>
    <n v="0"/>
    <n v="0"/>
    <m/>
    <n v="0"/>
    <n v="0"/>
    <n v="127.992568969727"/>
    <n v="52.055683475463503"/>
  </r>
  <r>
    <n v="115"/>
    <x v="114"/>
    <m/>
    <d v="2021-02-21T00:00:00"/>
    <n v="2021"/>
    <n v="0.12897431677955001"/>
    <s v="SOAPWORK LANE, SOAPWORK LANE HOUSE"/>
    <n v="340134"/>
    <n v="730639"/>
    <x v="1"/>
    <s v="Site Complete"/>
    <s v="HILLCREST HA"/>
    <s v="RSL"/>
    <s v="20/00714/FULL"/>
    <d v="2021-02-24T00:00:00"/>
    <s v="20/00595/DOM1"/>
    <d v="2023-12-04T00:00:00"/>
    <x v="0"/>
    <s v="No"/>
    <s v="Yes"/>
    <n v="15"/>
    <n v="0"/>
    <n v="0"/>
    <n v="15"/>
    <n v="15"/>
    <n v="15"/>
    <n v="1"/>
    <n v="0"/>
    <n v="0"/>
    <n v="0"/>
    <n v="0"/>
    <n v="0"/>
    <n v="0"/>
    <n v="0"/>
    <n v="0"/>
    <n v="0"/>
    <n v="0"/>
    <m/>
    <n v="0"/>
    <n v="15"/>
    <n v="1289.7431030273401"/>
    <n v="151.94391851222801"/>
  </r>
  <r>
    <n v="116"/>
    <x v="115"/>
    <m/>
    <d v="2021-12-05T00:00:00"/>
    <n v="2021"/>
    <n v="0.13032239801453899"/>
    <s v="AMERICANMUIR ROAD, 38, GARDEN GROUND"/>
    <n v="338540"/>
    <n v="733383"/>
    <x v="2"/>
    <s v="Planning Consent"/>
    <s v="PRIVATE"/>
    <s v="Private"/>
    <s v="20/00690/FULL"/>
    <d v="2021-12-05T00:00:00"/>
    <s v="Refused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303.22399902344"/>
    <n v="170.53928805785799"/>
  </r>
  <r>
    <n v="117"/>
    <x v="116"/>
    <m/>
    <d v="2021-02-23T00:00:00"/>
    <n v="2021"/>
    <n v="0.42239800342053702"/>
    <s v="DYKES OF GRAY, BRAESIDE"/>
    <n v="334221"/>
    <n v="732256"/>
    <x v="2"/>
    <s v="Site Complete"/>
    <s v="PRIVATE"/>
    <s v="Private"/>
    <s v="20/00791/FULL"/>
    <d v="2021-02-23T00:00:00"/>
    <s v="21/00576/DOM2"/>
    <d v="2023-08-18T00:00:00"/>
    <x v="0"/>
    <s v="No"/>
    <s v="Yes"/>
    <n v="1"/>
    <n v="0"/>
    <n v="1"/>
    <n v="0"/>
    <n v="1"/>
    <n v="1"/>
    <n v="1"/>
    <n v="0"/>
    <n v="0"/>
    <n v="0"/>
    <n v="0"/>
    <n v="0"/>
    <n v="0"/>
    <n v="0"/>
    <n v="0"/>
    <n v="0"/>
    <n v="0"/>
    <m/>
    <n v="0"/>
    <n v="0"/>
    <n v="4223.9800415039099"/>
    <n v="287.39678976837502"/>
  </r>
  <r>
    <n v="118"/>
    <x v="117"/>
    <m/>
    <d v="2021-04-21T00:00:00"/>
    <n v="2021"/>
    <n v="7.8396289198460201E-2"/>
    <s v="NORTH GRANGE FARM, LAND TO EAST OF FARMHOUSE"/>
    <n v="348471"/>
    <n v="733313"/>
    <x v="2"/>
    <s v="Site Complete"/>
    <s v="PRIVATE"/>
    <s v="Private"/>
    <s v="20/00840/FULL"/>
    <d v="2021-12-04T00:00:00"/>
    <s v="21/00774/DOM2"/>
    <d v="2023-07-17T00:00:00"/>
    <x v="0"/>
    <s v="No"/>
    <s v="Yes"/>
    <n v="1"/>
    <n v="0"/>
    <n v="1"/>
    <n v="0"/>
    <n v="1"/>
    <n v="1"/>
    <n v="1"/>
    <n v="0"/>
    <n v="0"/>
    <n v="0"/>
    <n v="0"/>
    <n v="0"/>
    <n v="0"/>
    <n v="0"/>
    <n v="0"/>
    <n v="0"/>
    <n v="0"/>
    <m/>
    <n v="0"/>
    <n v="0"/>
    <n v="783.96287536621105"/>
    <n v="119.835148903519"/>
  </r>
  <r>
    <n v="119"/>
    <x v="118"/>
    <m/>
    <d v="2021-01-07T00:00:00"/>
    <n v="2021"/>
    <n v="2.2691431910006402E-2"/>
    <s v="SPRINGFIELD, 8, G/0"/>
    <n v="339325"/>
    <n v="729829"/>
    <x v="2"/>
    <s v="Planning Consent"/>
    <s v="PRIVATE"/>
    <s v="Private"/>
    <s v="20/00618/FULL"/>
    <d v="2021-07-16T00:00:00"/>
    <s v="22/00115/DOM1"/>
    <m/>
    <x v="0"/>
    <s v="No"/>
    <s v="Yes"/>
    <n v="2"/>
    <n v="0"/>
    <n v="0"/>
    <n v="2"/>
    <n v="0"/>
    <n v="0"/>
    <n v="0"/>
    <n v="2"/>
    <n v="0"/>
    <n v="0"/>
    <n v="0"/>
    <n v="0"/>
    <n v="0"/>
    <n v="0"/>
    <n v="0"/>
    <n v="0"/>
    <n v="0"/>
    <m/>
    <n v="0"/>
    <n v="0"/>
    <n v="226.91432189941401"/>
    <n v="77.772789625693704"/>
  </r>
  <r>
    <n v="120"/>
    <x v="119"/>
    <m/>
    <d v="2021-01-08T00:00:00"/>
    <n v="2021"/>
    <n v="7.2434696385786507E-2"/>
    <s v="FREDERICK STREET, 45, GARDEN GROUND"/>
    <n v="338778"/>
    <n v="733449"/>
    <x v="2"/>
    <s v="Planning Consent"/>
    <s v="PRIVATE"/>
    <s v="Private"/>
    <s v="20/00721/FULL, 22/00756/FULL"/>
    <d v="2023-08-02T00:00:00"/>
    <s v="21/00594/DOM1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724.34696960449196"/>
    <n v="108.40317247328601"/>
  </r>
  <r>
    <n v="121"/>
    <x v="120"/>
    <m/>
    <d v="2021-01-10T00:00:00"/>
    <n v="2021"/>
    <n v="2.1457521278546499E-2"/>
    <s v="NORTH STREET, 40"/>
    <n v="339958"/>
    <n v="731642"/>
    <x v="2"/>
    <s v="Planning Consent"/>
    <s v="PRIVATE"/>
    <s v="Private"/>
    <s v="21/00008/FULL"/>
    <d v="2021-10-21T00:00:00"/>
    <s v="21/00027/DOM1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214.57521057128901"/>
    <n v="58.374895514995899"/>
  </r>
  <r>
    <n v="122"/>
    <x v="121"/>
    <m/>
    <d v="2021-01-11T00:00:00"/>
    <n v="2021"/>
    <n v="1.0331293539355401E-2"/>
    <s v="REFORM STREET, 51, MF SPACE"/>
    <n v="340245"/>
    <n v="730375"/>
    <x v="1"/>
    <s v="Planning Consent"/>
    <s v="PRIVATE"/>
    <s v="Private"/>
    <s v="21/00719/FULL"/>
    <d v="2021-11-18T00:00:00"/>
    <m/>
    <m/>
    <x v="0"/>
    <s v="No"/>
    <s v="Yes"/>
    <n v="4"/>
    <n v="0"/>
    <n v="0"/>
    <n v="4"/>
    <n v="0"/>
    <n v="0"/>
    <n v="0"/>
    <n v="4"/>
    <n v="4"/>
    <n v="0"/>
    <n v="0"/>
    <n v="0"/>
    <n v="0"/>
    <n v="0"/>
    <n v="0"/>
    <n v="0"/>
    <n v="0"/>
    <n v="0"/>
    <n v="0"/>
    <n v="4"/>
    <n v="103.312911987305"/>
    <n v="42.185908947991699"/>
  </r>
  <r>
    <n v="123"/>
    <x v="122"/>
    <m/>
    <d v="2021-08-21T00:00:00"/>
    <n v="2021"/>
    <n v="1.0331293539355401E-2"/>
    <s v="REFORM STREET, 51, 2/2, CAFE"/>
    <n v="340245"/>
    <n v="730375"/>
    <x v="2"/>
    <s v="Planning Consent"/>
    <s v="PRIVATE"/>
    <s v="Private"/>
    <s v="21/00501/FULL"/>
    <d v="2021-08-27T00:00:00"/>
    <m/>
    <m/>
    <x v="0"/>
    <s v="No"/>
    <s v="Yes"/>
    <n v="1"/>
    <n v="0"/>
    <n v="0"/>
    <n v="1"/>
    <n v="0"/>
    <n v="0"/>
    <n v="0"/>
    <n v="4"/>
    <n v="0"/>
    <n v="0"/>
    <n v="0"/>
    <n v="0"/>
    <n v="0"/>
    <n v="0"/>
    <n v="0"/>
    <n v="0"/>
    <n v="0"/>
    <m/>
    <n v="0"/>
    <n v="0"/>
    <n v="103.312911987305"/>
    <n v="42.185908947991699"/>
  </r>
  <r>
    <n v="124"/>
    <x v="123"/>
    <m/>
    <d v="2021-01-12T00:00:00"/>
    <n v="2021"/>
    <n v="0.34847249441670702"/>
    <s v="SOUTHAMPTON ROAD, FORMER CRAIGIE HOUSE, LAND AT"/>
    <n v="343560"/>
    <n v="731345"/>
    <x v="2"/>
    <s v="Site Complete"/>
    <s v="DUNDEE CITY COUNCIL"/>
    <s v="Local Authority"/>
    <s v="21/00634/FULL"/>
    <d v="2021-12-14T00:00:00"/>
    <s v="21/00663/DOM2"/>
    <d v="2023-08-25T00:00:00"/>
    <x v="0"/>
    <s v="No"/>
    <s v="Yes"/>
    <n v="1"/>
    <n v="0"/>
    <n v="1"/>
    <n v="0"/>
    <n v="1"/>
    <n v="1"/>
    <n v="1"/>
    <n v="0"/>
    <n v="0"/>
    <n v="0"/>
    <n v="0"/>
    <n v="0"/>
    <n v="0"/>
    <n v="0"/>
    <n v="0"/>
    <n v="0"/>
    <n v="0"/>
    <m/>
    <n v="0"/>
    <n v="1"/>
    <n v="3484.7249755859398"/>
    <n v="274.08323475152503"/>
  </r>
  <r>
    <n v="125"/>
    <x v="124"/>
    <m/>
    <d v="2021-01-08T00:00:00"/>
    <n v="2021"/>
    <n v="0.11464394132707501"/>
    <s v="STRATHERN ROAD, 140"/>
    <n v="345677"/>
    <n v="731472"/>
    <x v="2"/>
    <s v="Planning Consent"/>
    <s v="PRIVATE"/>
    <s v="Private"/>
    <s v="20/00798/FULL"/>
    <d v="2021-08-20T00:00:00"/>
    <s v="22/00001/DOM2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146.4394226074201"/>
    <n v="155.99987192743501"/>
  </r>
  <r>
    <n v="126"/>
    <x v="125"/>
    <m/>
    <d v="2021-01-08T00:00:00"/>
    <n v="2021"/>
    <n v="5.6125411085404198E-2"/>
    <s v="BALGOWAN DRIVE, 7"/>
    <n v="339134"/>
    <n v="733842"/>
    <x v="2"/>
    <s v="Planning Consent"/>
    <s v="PRIVATE"/>
    <s v="Private"/>
    <s v="21/00471/FULL"/>
    <d v="2021-08-17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561.25410461425804"/>
    <n v="93.175246498701796"/>
  </r>
  <r>
    <n v="127"/>
    <x v="126"/>
    <m/>
    <d v="2021-01-08T00:00:00"/>
    <n v="2021"/>
    <n v="1.5139638690821799E-2"/>
    <s v="SOUTH TAY STREET, 28, GROUND &amp; BASEMENT"/>
    <n v="339909"/>
    <n v="730015"/>
    <x v="2"/>
    <s v="Site Complete"/>
    <s v="RD DEVELOPMENTS LTD"/>
    <s v="Private"/>
    <s v="21/00361/FULL"/>
    <d v="2021-08-26T00:00:00"/>
    <s v="21/00711/DOM4"/>
    <d v="2023-11-05T00:00:00"/>
    <x v="0"/>
    <s v="No"/>
    <s v="Yes"/>
    <n v="2"/>
    <n v="0"/>
    <n v="0"/>
    <n v="2"/>
    <n v="2"/>
    <n v="2"/>
    <n v="1"/>
    <n v="0"/>
    <n v="0"/>
    <n v="0"/>
    <n v="0"/>
    <n v="0"/>
    <n v="0"/>
    <n v="0"/>
    <n v="0"/>
    <n v="0"/>
    <n v="0"/>
    <m/>
    <n v="0"/>
    <n v="0"/>
    <n v="151.39636230468801"/>
    <n v="49.550410196414198"/>
  </r>
  <r>
    <n v="128"/>
    <x v="127"/>
    <m/>
    <d v="2021-01-08T00:00:00"/>
    <n v="2021"/>
    <n v="0.21119592168807799"/>
    <s v="COUPAR ANGUS ROAD, 40, SITE OF FORMER HOTEL"/>
    <n v="337386"/>
    <n v="732179"/>
    <x v="1"/>
    <s v="Under Construction"/>
    <s v="REDWOOD BIRKHILL LIMITED"/>
    <s v="RSL"/>
    <s v="20/00591/FULL"/>
    <d v="2021-08-17T00:00:00"/>
    <s v="19/00574/DOM1"/>
    <m/>
    <x v="0"/>
    <s v="No"/>
    <s v="Yes"/>
    <n v="18"/>
    <n v="0"/>
    <n v="0"/>
    <n v="18"/>
    <n v="0"/>
    <n v="0"/>
    <n v="0"/>
    <n v="18"/>
    <n v="18"/>
    <n v="0"/>
    <n v="0"/>
    <n v="0"/>
    <n v="0"/>
    <n v="0"/>
    <n v="0"/>
    <n v="0"/>
    <n v="0"/>
    <n v="0"/>
    <n v="0"/>
    <n v="18"/>
    <n v="2111.9591674804701"/>
    <n v="197.300953226899"/>
  </r>
  <r>
    <n v="129"/>
    <x v="128"/>
    <m/>
    <d v="2021-01-12T00:00:00"/>
    <n v="2021"/>
    <n v="1.14809947090175"/>
    <s v="PERTH ROAD, 329, FERNBRAE HOSPITAL"/>
    <n v="337615"/>
    <n v="729923"/>
    <x v="1"/>
    <s v="Planning Consent"/>
    <s v="S1 WEST LTD"/>
    <s v="Private"/>
    <s v="21/00604/FULL"/>
    <d v="2021-12-15T00:00:00"/>
    <s v="22/00059/DOM1"/>
    <m/>
    <x v="0"/>
    <s v="No"/>
    <s v="Yes"/>
    <n v="22"/>
    <n v="0"/>
    <n v="5"/>
    <n v="17"/>
    <n v="0"/>
    <n v="0"/>
    <n v="0"/>
    <n v="22"/>
    <n v="0"/>
    <n v="10"/>
    <n v="12"/>
    <n v="0"/>
    <n v="0"/>
    <n v="0"/>
    <n v="0"/>
    <n v="0"/>
    <n v="0"/>
    <n v="0"/>
    <n v="0"/>
    <n v="22"/>
    <n v="11480.994705200201"/>
    <n v="479.72495222079601"/>
  </r>
  <r>
    <n v="130"/>
    <x v="129"/>
    <m/>
    <d v="2022-11-23T00:00:00"/>
    <n v="2022"/>
    <n v="0.10384241819078199"/>
    <s v="BALGILLO ROAD, 157, LAND SOUTH"/>
    <n v="346450"/>
    <n v="732090"/>
    <x v="2"/>
    <s v="Planning Consent"/>
    <s v="PRIVATE"/>
    <s v="Private"/>
    <s v="22/00503/FULL"/>
    <d v="2022-11-23T00:00:00"/>
    <m/>
    <m/>
    <x v="0"/>
    <s v="No"/>
    <s v="Yes"/>
    <n v="1"/>
    <n v="0"/>
    <n v="1"/>
    <n v="0"/>
    <n v="0"/>
    <n v="0"/>
    <n v="0"/>
    <n v="0"/>
    <n v="0"/>
    <n v="0"/>
    <n v="0"/>
    <n v="0"/>
    <n v="0"/>
    <n v="0"/>
    <n v="0"/>
    <n v="0"/>
    <n v="0"/>
    <m/>
    <n v="0"/>
    <n v="0"/>
    <n v="1038.4241638183601"/>
    <n v="136.66995538779099"/>
  </r>
  <r>
    <n v="131"/>
    <x v="130"/>
    <s v="H28"/>
    <d v="2022-12-16T00:00:00"/>
    <n v="2022"/>
    <n v="1.34362977488538"/>
    <s v="TRANENT GROVE"/>
    <n v="343303"/>
    <n v="733461"/>
    <x v="1"/>
    <s v="Planning Consent"/>
    <s v="DISCOVERY HOMES LTD"/>
    <s v="Private"/>
    <s v="22/00461/FULL"/>
    <d v="2022-12-16T00:00:00"/>
    <m/>
    <m/>
    <x v="0"/>
    <s v="No"/>
    <s v="No"/>
    <n v="17"/>
    <n v="0"/>
    <n v="17"/>
    <n v="0"/>
    <n v="0"/>
    <n v="0"/>
    <n v="0"/>
    <n v="17"/>
    <n v="0"/>
    <n v="17"/>
    <n v="0"/>
    <n v="0"/>
    <n v="0"/>
    <n v="0"/>
    <n v="0"/>
    <n v="0"/>
    <n v="0"/>
    <n v="0"/>
    <n v="0"/>
    <n v="17"/>
    <n v="13436.2976837158"/>
    <n v="651.54937236415105"/>
  </r>
  <r>
    <n v="132"/>
    <x v="131"/>
    <m/>
    <d v="2021-05-21T00:00:00"/>
    <n v="2021"/>
    <n v="0.296646318331724"/>
    <s v="BROWNHILL PLACE, BROWNHILL STREET. SITE 7"/>
    <n v="336681"/>
    <n v="732054"/>
    <x v="1"/>
    <s v="Under Construction"/>
    <s v="BLACKWOOD HOMES &amp; CARE"/>
    <s v="RSL"/>
    <s v="20/00250/FULL"/>
    <d v="2021-05-21T00:00:00"/>
    <s v="20/00622/DOM1"/>
    <m/>
    <x v="0"/>
    <s v="No"/>
    <s v="Yes"/>
    <n v="12"/>
    <n v="0"/>
    <n v="0"/>
    <n v="12"/>
    <n v="0"/>
    <n v="0"/>
    <n v="0"/>
    <n v="12"/>
    <n v="12"/>
    <n v="0"/>
    <n v="0"/>
    <n v="0"/>
    <n v="0"/>
    <n v="0"/>
    <n v="0"/>
    <n v="0"/>
    <n v="0"/>
    <n v="0"/>
    <n v="0"/>
    <n v="12"/>
    <n v="2966.4631958007799"/>
    <n v="307.91905093013901"/>
  </r>
  <r>
    <n v="133"/>
    <x v="132"/>
    <m/>
    <d v="2021-04-21T00:00:00"/>
    <n v="2021"/>
    <n v="0.251144117700138"/>
    <s v="LAND AT FORMER TAY ROPE WORKS MAGDALEN YARD ROAD"/>
    <n v="339151"/>
    <n v="729525"/>
    <x v="1"/>
    <s v="Under Construction"/>
    <s v="F &amp; H DEVELOPMENTS"/>
    <s v="Private"/>
    <s v="19/00297/FULL"/>
    <d v="2021-04-21T00:00:00"/>
    <s v="21/00543/DOM1"/>
    <m/>
    <x v="0"/>
    <s v="No"/>
    <s v="Yes"/>
    <n v="9"/>
    <n v="0"/>
    <n v="5"/>
    <n v="4"/>
    <n v="0"/>
    <n v="0"/>
    <n v="0"/>
    <n v="9"/>
    <n v="9"/>
    <n v="0"/>
    <n v="0"/>
    <n v="0"/>
    <n v="0"/>
    <n v="0"/>
    <n v="0"/>
    <n v="0"/>
    <n v="0"/>
    <n v="0"/>
    <n v="0"/>
    <n v="9"/>
    <n v="2511.44117736816"/>
    <n v="457.71189751349198"/>
  </r>
  <r>
    <n v="134"/>
    <x v="133"/>
    <m/>
    <d v="2022-09-02T00:00:00"/>
    <n v="2022"/>
    <n v="0.176496723498721"/>
    <s v="LAND TO EAST OF 247 BLACKNESS ROAD"/>
    <n v="338564"/>
    <n v="730306"/>
    <x v="1"/>
    <s v="Planning Consent"/>
    <s v="DUNDEE CITY COUNCIL"/>
    <s v="RSL"/>
    <s v="21/00525/FULL"/>
    <d v="2022-09-02T00:00:00"/>
    <s v="22/00026/DOM1"/>
    <m/>
    <x v="0"/>
    <s v="No"/>
    <s v="Yes"/>
    <n v="24"/>
    <n v="0"/>
    <n v="0"/>
    <n v="24"/>
    <n v="0"/>
    <n v="0"/>
    <n v="0"/>
    <n v="24"/>
    <n v="0"/>
    <n v="12"/>
    <n v="12"/>
    <n v="0"/>
    <n v="0"/>
    <n v="0"/>
    <n v="0"/>
    <n v="0"/>
    <n v="0"/>
    <n v="0"/>
    <n v="0"/>
    <n v="24"/>
    <n v="1764.96726989746"/>
    <n v="174.71471386464299"/>
  </r>
  <r>
    <n v="135"/>
    <x v="134"/>
    <m/>
    <d v="2022-03-16T00:00:00"/>
    <n v="2022"/>
    <n v="2.1000514364327199"/>
    <s v="SITE OF FORMER FACTORY BALLINDEAN ROAD"/>
    <n v="343400"/>
    <n v="732158"/>
    <x v="1"/>
    <s v="Under Construction"/>
    <s v="CULLROSS LTD/CALEDONIA HA/BOC LTD"/>
    <s v="Mixed"/>
    <s v="21/00602/FULM"/>
    <d v="2022-03-16T00:00:00"/>
    <s v="22/00380/DOM1"/>
    <m/>
    <x v="0"/>
    <s v="No"/>
    <s v="Yes"/>
    <n v="67"/>
    <n v="0"/>
    <n v="43"/>
    <n v="24"/>
    <n v="0"/>
    <n v="0"/>
    <n v="0"/>
    <n v="67"/>
    <n v="55"/>
    <n v="12"/>
    <n v="0"/>
    <n v="0"/>
    <n v="0"/>
    <n v="0"/>
    <n v="0"/>
    <n v="0"/>
    <n v="0"/>
    <n v="0"/>
    <n v="0"/>
    <n v="67"/>
    <n v="21000.5143890381"/>
    <n v="572.51898462033296"/>
  </r>
  <r>
    <n v="136"/>
    <x v="135"/>
    <m/>
    <d v="2022-03-17T00:00:00"/>
    <n v="2022"/>
    <n v="3.9052615000385101E-2"/>
    <s v="NICOLL STREET, 6"/>
    <n v="339986"/>
    <n v="730411"/>
    <x v="1"/>
    <s v="Planning Consent"/>
    <s v="PRIVATE"/>
    <s v="Private"/>
    <s v="20/00598/FULL"/>
    <d v="2022-03-17T00:00:00"/>
    <s v="23/00060/DOM1"/>
    <m/>
    <x v="0"/>
    <s v="No"/>
    <s v="Yes"/>
    <n v="10"/>
    <n v="0"/>
    <n v="0"/>
    <n v="10"/>
    <n v="0"/>
    <n v="0"/>
    <n v="0"/>
    <n v="10"/>
    <n v="0"/>
    <n v="10"/>
    <n v="0"/>
    <n v="0"/>
    <n v="0"/>
    <n v="0"/>
    <n v="0"/>
    <n v="0"/>
    <n v="0"/>
    <n v="0"/>
    <n v="0"/>
    <n v="10"/>
    <n v="390.52616882324202"/>
    <n v="85.887792635729397"/>
  </r>
  <r>
    <n v="137"/>
    <x v="136"/>
    <m/>
    <d v="2022-02-17T00:00:00"/>
    <n v="2022"/>
    <n v="6.3066798358971203"/>
    <s v="SITE OF FORMER JAMES KEILLER BUILDINGS 32 - 34 MAINS LOAN"/>
    <n v="340952"/>
    <n v="732266"/>
    <x v="1"/>
    <s v="Under Construction"/>
    <s v="BARRATT NORTH SCOTLAND/MARKETGAIT DEVELOPMENTS"/>
    <s v="Private"/>
    <s v="20/00098/FULM"/>
    <d v="2022-02-17T00:00:00"/>
    <s v="21/00098/DOM1, 22/00091/DOM1"/>
    <m/>
    <x v="0"/>
    <s v="No"/>
    <s v="Yes"/>
    <n v="223"/>
    <n v="0"/>
    <n v="167"/>
    <n v="56"/>
    <n v="28"/>
    <n v="28"/>
    <n v="0.12556053811659193"/>
    <n v="195"/>
    <n v="52"/>
    <n v="52"/>
    <n v="52"/>
    <n v="40"/>
    <n v="0"/>
    <n v="0"/>
    <n v="0"/>
    <n v="0"/>
    <n v="0"/>
    <n v="0"/>
    <n v="0"/>
    <n v="195"/>
    <n v="63066.798309326201"/>
    <n v="1056.2427464556699"/>
  </r>
  <r>
    <n v="138"/>
    <x v="137"/>
    <m/>
    <d v="2022-03-17T00:00:00"/>
    <n v="2022"/>
    <n v="0.57137183050137197"/>
    <s v="BURNSIDE STREET, 55"/>
    <n v="338192"/>
    <n v="731432"/>
    <x v="1"/>
    <s v="Planning Consent"/>
    <s v="HILLCREST HA"/>
    <s v="RSL"/>
    <s v="21/00857/FULM"/>
    <d v="2022-03-17T00:00:00"/>
    <s v="24/00176/DOM1"/>
    <m/>
    <x v="0"/>
    <s v="No"/>
    <s v="Yes"/>
    <n v="54"/>
    <n v="0"/>
    <n v="0"/>
    <n v="54"/>
    <n v="0"/>
    <n v="0"/>
    <n v="0"/>
    <n v="54"/>
    <n v="0"/>
    <n v="0"/>
    <n v="54"/>
    <n v="0"/>
    <n v="0"/>
    <n v="0"/>
    <n v="0"/>
    <n v="0"/>
    <n v="0"/>
    <n v="0"/>
    <n v="0"/>
    <n v="54"/>
    <n v="5713.71827697754"/>
    <n v="407.43887290049099"/>
  </r>
  <r>
    <n v="139"/>
    <x v="138"/>
    <m/>
    <d v="2021-06-16T00:00:00"/>
    <n v="2021"/>
    <n v="1.34206303911651"/>
    <s v="LAND AT FORMER ROSEBANK PRIMARY SCHOOL"/>
    <n v="339990"/>
    <n v="730905"/>
    <x v="1"/>
    <s v="Under Construction"/>
    <s v="DISCOVERY HOMES LTD"/>
    <s v="TBC"/>
    <s v="21/00011/FULL"/>
    <d v="2021-06-16T00:00:00"/>
    <s v="21/00088/DOM1, 21/00648/DOM1"/>
    <m/>
    <x v="0"/>
    <s v="No"/>
    <s v="Yes"/>
    <n v="40"/>
    <n v="0"/>
    <n v="40"/>
    <n v="0"/>
    <n v="8"/>
    <n v="8"/>
    <n v="0.2"/>
    <n v="32"/>
    <n v="16"/>
    <n v="16"/>
    <n v="0"/>
    <n v="0"/>
    <n v="0"/>
    <n v="0"/>
    <n v="0"/>
    <n v="0"/>
    <n v="0"/>
    <n v="0"/>
    <n v="0"/>
    <n v="32"/>
    <n v="13420.630386352501"/>
    <n v="523.66455254739196"/>
  </r>
  <r>
    <n v="140"/>
    <x v="139"/>
    <m/>
    <d v="2022-03-16T00:00:00"/>
    <n v="2022"/>
    <n v="4.15271130710494E-2"/>
    <s v="FORTHILL ROAD, 10"/>
    <n v="346229"/>
    <n v="731308"/>
    <x v="2"/>
    <s v="Planning Consent"/>
    <s v="PRIVATE"/>
    <s v="Private"/>
    <s v="21/00688/PPPL"/>
    <d v="2022-03-16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415.27114868164102"/>
    <n v="89.318661447758203"/>
  </r>
  <r>
    <n v="141"/>
    <x v="140"/>
    <m/>
    <d v="2019-01-21T00:00:00"/>
    <n v="2019"/>
    <n v="0.117999034614579"/>
    <s v="BUCHANAN STREET, ELECTRIC SUB-STATION"/>
    <n v="340869"/>
    <n v="731410"/>
    <x v="1"/>
    <s v="Site Complete"/>
    <s v="PRIVATE"/>
    <s v="TBC"/>
    <s v="18/00779/PPPL, 21/00934/APCONL"/>
    <d v="2022-04-21T00:00:00"/>
    <s v="22/00256/DOM1"/>
    <d v="2024-01-03T00:00:00"/>
    <x v="0"/>
    <s v="No"/>
    <s v="Yes"/>
    <n v="14"/>
    <n v="0"/>
    <n v="0"/>
    <n v="14"/>
    <n v="14"/>
    <n v="14"/>
    <n v="1"/>
    <n v="0"/>
    <n v="0"/>
    <n v="0"/>
    <n v="14"/>
    <n v="0"/>
    <n v="0"/>
    <n v="0"/>
    <n v="0"/>
    <n v="0"/>
    <n v="0"/>
    <m/>
    <n v="0"/>
    <n v="14"/>
    <n v="1179.9903717041"/>
    <n v="144.99990438458201"/>
  </r>
  <r>
    <n v="142"/>
    <x v="141"/>
    <m/>
    <d v="2022-08-23T00:00:00"/>
    <n v="2022"/>
    <n v="0.108915452337638"/>
    <s v="ELLISLEA ROAD, 9, GARDEN GROUND"/>
    <n v="345024"/>
    <n v="731414"/>
    <x v="2"/>
    <s v="Under Construction"/>
    <s v="PRIVATE"/>
    <s v="Private"/>
    <s v="22/00373/FULL"/>
    <d v="2022-08-23T00:00:00"/>
    <s v="22/00610/DOM2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089.1545715331999"/>
    <n v="150.78500520900499"/>
  </r>
  <r>
    <n v="143"/>
    <x v="142"/>
    <m/>
    <d v="2022-09-27T00:00:00"/>
    <n v="2022"/>
    <n v="0.15990629869353401"/>
    <s v="GUTHRIE STREET, 9"/>
    <n v="339644"/>
    <n v="730319"/>
    <x v="1"/>
    <s v="Planning Consent"/>
    <s v="PRIVATE"/>
    <s v="Private"/>
    <s v="21/00296/FULL"/>
    <d v="2022-09-27T00:00:00"/>
    <m/>
    <m/>
    <x v="0"/>
    <s v="No"/>
    <s v="Yes"/>
    <n v="18"/>
    <n v="0"/>
    <n v="0"/>
    <n v="18"/>
    <n v="0"/>
    <n v="0"/>
    <n v="0"/>
    <n v="18"/>
    <n v="0"/>
    <n v="0"/>
    <n v="18"/>
    <n v="0"/>
    <n v="0"/>
    <n v="0"/>
    <n v="0"/>
    <n v="0"/>
    <n v="0"/>
    <n v="0"/>
    <n v="0"/>
    <n v="18"/>
    <n v="1599.0630187988299"/>
    <n v="187.75739627304"/>
  </r>
  <r>
    <n v="144"/>
    <x v="143"/>
    <m/>
    <d v="2022-10-11T00:00:00"/>
    <n v="2022"/>
    <n v="0.17793502999799801"/>
    <s v="CAMPHILL ROAD, 65, LAND TO SOUTH"/>
    <n v="346894"/>
    <n v="731323"/>
    <x v="2"/>
    <s v="Planning Consent"/>
    <s v="PRIVATE"/>
    <s v="Private"/>
    <s v="22/00545/FULL"/>
    <d v="2022-10-11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1779.3502960205101"/>
    <n v="179.54407656604599"/>
  </r>
  <r>
    <n v="145"/>
    <x v="144"/>
    <m/>
    <d v="2022-11-25T00:00:00"/>
    <n v="2022"/>
    <n v="3.0119966076834599E-2"/>
    <s v="LAUDERDALE AVENUE, 88, GARDEN GROUND TO SOUTH"/>
    <n v="338288"/>
    <n v="733486"/>
    <x v="2"/>
    <s v="Planning Consent"/>
    <s v="PRIVATE"/>
    <s v="Private"/>
    <s v="22/00535/PPPL"/>
    <d v="2022-11-25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301.19964599609398"/>
    <n v="70.230293130039001"/>
  </r>
  <r>
    <n v="146"/>
    <x v="145"/>
    <m/>
    <d v="2022-12-22T00:00:00"/>
    <n v="2022"/>
    <n v="0.306277677382916"/>
    <s v="ELLIOT ROAD, MAINS OF BALGAY"/>
    <n v="337381"/>
    <n v="730420"/>
    <x v="1"/>
    <s v="Planning Consent"/>
    <s v="PRIVATE"/>
    <s v="Private"/>
    <s v="22/00563/FULL"/>
    <d v="2022-12-22T00:00:00"/>
    <m/>
    <m/>
    <x v="0"/>
    <s v="No"/>
    <s v="Yes"/>
    <n v="5"/>
    <n v="0"/>
    <n v="5"/>
    <n v="0"/>
    <n v="0"/>
    <n v="0"/>
    <n v="0"/>
    <n v="5"/>
    <n v="0"/>
    <n v="0"/>
    <n v="5"/>
    <n v="0"/>
    <n v="0"/>
    <n v="0"/>
    <n v="0"/>
    <n v="0"/>
    <n v="0"/>
    <n v="0"/>
    <n v="0"/>
    <n v="5"/>
    <n v="3062.7767486572302"/>
    <n v="297.777371260005"/>
  </r>
  <r>
    <n v="147"/>
    <x v="146"/>
    <m/>
    <d v="2022-12-22T00:00:00"/>
    <n v="2022"/>
    <n v="2.3789875000237999E-2"/>
    <s v="HILLTOWN, 114, MOSQUE"/>
    <n v="340168"/>
    <n v="730930"/>
    <x v="1"/>
    <s v="Planning Consent"/>
    <s v="PRIVATE"/>
    <s v="Private"/>
    <s v="22/00699/FULL"/>
    <d v="2022-12-22T00:00:00"/>
    <m/>
    <m/>
    <x v="0"/>
    <s v="No"/>
    <s v="Yes"/>
    <n v="5"/>
    <n v="0"/>
    <n v="0"/>
    <n v="5"/>
    <n v="0"/>
    <n v="0"/>
    <n v="0"/>
    <n v="5"/>
    <n v="0"/>
    <n v="0"/>
    <n v="5"/>
    <n v="0"/>
    <n v="0"/>
    <n v="0"/>
    <n v="0"/>
    <n v="0"/>
    <n v="0"/>
    <n v="0"/>
    <n v="0"/>
    <n v="5"/>
    <n v="237.89874267578099"/>
    <n v="60.889559274126597"/>
  </r>
  <r>
    <n v="148"/>
    <x v="147"/>
    <m/>
    <d v="2018-06-21T00:00:00"/>
    <n v="2018"/>
    <n v="0.18825932404344001"/>
    <s v="CANDLE LANE, 9-11 "/>
    <n v="340603"/>
    <n v="730390"/>
    <x v="1"/>
    <s v="Under Construction"/>
    <s v="HILLCREST HA"/>
    <s v="RSL"/>
    <s v="18/00016/FULL"/>
    <d v="2018-06-21T00:00:00"/>
    <s v="19/00288/DOM1"/>
    <m/>
    <x v="0"/>
    <s v="No"/>
    <s v="Yes"/>
    <n v="24"/>
    <n v="0"/>
    <n v="0"/>
    <n v="24"/>
    <n v="0"/>
    <n v="0"/>
    <n v="0"/>
    <n v="24"/>
    <n v="24"/>
    <n v="0"/>
    <n v="0"/>
    <n v="0"/>
    <n v="0"/>
    <n v="0"/>
    <n v="0"/>
    <n v="0"/>
    <n v="0"/>
    <n v="0"/>
    <n v="0"/>
    <n v="24"/>
    <n v="1882.59324645996"/>
    <n v="477.74616164235601"/>
  </r>
  <r>
    <n v="149"/>
    <x v="148"/>
    <m/>
    <d v="2023-10-02T00:00:00"/>
    <n v="2023"/>
    <n v="4.5363290410882898E-2"/>
    <s v="CANDLE LANE, 3-7"/>
    <n v="340567"/>
    <n v="730409"/>
    <x v="1"/>
    <s v="Planning Consent"/>
    <s v="MURRAYFIELD PROPERTIES LTD"/>
    <s v="Private"/>
    <s v="20/00739/FULL"/>
    <d v="2023-10-02T00:00:00"/>
    <m/>
    <m/>
    <x v="0"/>
    <s v="No"/>
    <s v="Yes"/>
    <n v="8"/>
    <n v="0"/>
    <n v="0"/>
    <n v="8"/>
    <n v="0"/>
    <n v="0"/>
    <n v="0"/>
    <n v="8"/>
    <n v="0"/>
    <n v="0"/>
    <n v="8"/>
    <n v="0"/>
    <n v="0"/>
    <n v="0"/>
    <n v="0"/>
    <n v="0"/>
    <n v="0"/>
    <n v="0"/>
    <n v="0"/>
    <n v="8"/>
    <n v="453.63287353515602"/>
    <n v="87.197972336862193"/>
  </r>
  <r>
    <n v="150"/>
    <x v="149"/>
    <m/>
    <d v="2023-08-03T00:00:00"/>
    <n v="2023"/>
    <n v="2.0024929999235701E-2"/>
    <s v="LOCHEE ROAD, 142A"/>
    <n v="338908"/>
    <n v="730689"/>
    <x v="2"/>
    <s v="Under Construction"/>
    <s v="PRIVATE"/>
    <s v="Private"/>
    <s v="22/00485/FULL"/>
    <d v="2023-08-03T00:00:00"/>
    <s v="23/00067/DOM2"/>
    <m/>
    <x v="0"/>
    <s v="No"/>
    <s v="Yes"/>
    <n v="1"/>
    <n v="0"/>
    <n v="0"/>
    <n v="1"/>
    <n v="0"/>
    <n v="0"/>
    <n v="0"/>
    <n v="1"/>
    <n v="0"/>
    <n v="0"/>
    <n v="0"/>
    <n v="0"/>
    <n v="0"/>
    <n v="0"/>
    <n v="0"/>
    <n v="0"/>
    <n v="0"/>
    <m/>
    <n v="0"/>
    <n v="0"/>
    <n v="200.24932861328099"/>
    <n v="68.0059184560548"/>
  </r>
  <r>
    <n v="151"/>
    <x v="150"/>
    <m/>
    <d v="2023-03-31T00:00:00"/>
    <n v="2023"/>
    <n v="0.28447622943124001"/>
    <s v="DYKES OF GRAY ROAD, SOUTH OF MAINS OF GRAY FARM"/>
    <n v="333577"/>
    <n v="732048"/>
    <x v="2"/>
    <s v="Planning Consent"/>
    <s v="PRIVATE"/>
    <s v="Private"/>
    <s v="22/00818/FULL"/>
    <d v="2023-03-31T00:00:00"/>
    <m/>
    <m/>
    <x v="1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2844.7622985839798"/>
    <n v="238.34747237074001"/>
  </r>
  <r>
    <n v="152"/>
    <x v="151"/>
    <s v="H17"/>
    <d v="2017-06-23T00:00:00"/>
    <n v="2017"/>
    <n v="0.72310035056232702"/>
    <s v="CENTRAL WATERFRONT - SITE 6 *"/>
    <n v="340454"/>
    <n v="729970"/>
    <x v="1"/>
    <s v="Under Construction"/>
    <s v="DUNDEE CITY COUNCIL"/>
    <s v="Private"/>
    <s v="17/00113/FULM, 18/00400/FULL"/>
    <d v="2018-08-17T00:00:00"/>
    <s v="18/00718/DOM1, 18/00719/DOM1"/>
    <m/>
    <x v="0"/>
    <s v="No"/>
    <s v="Yes"/>
    <n v="99"/>
    <n v="0"/>
    <n v="0"/>
    <n v="99"/>
    <n v="0"/>
    <n v="0"/>
    <n v="0"/>
    <n v="99"/>
    <n v="0"/>
    <n v="0"/>
    <n v="0"/>
    <n v="50"/>
    <n v="49"/>
    <n v="0"/>
    <n v="0"/>
    <n v="0"/>
    <n v="0"/>
    <n v="0"/>
    <n v="0"/>
    <n v="99"/>
    <n v="7231.0035247802698"/>
    <n v="358.99550842145499"/>
  </r>
  <r>
    <n v="153"/>
    <x v="152"/>
    <s v="H29"/>
    <d v="2022-06-13T00:00:00"/>
    <n v="2022"/>
    <n v="1.9422236684752101"/>
    <s v="SUMMERFIELD AVENUE AT SUMMERFIELD GARDENS, LAND TO WEST"/>
    <n v="343614"/>
    <n v="733089"/>
    <x v="1"/>
    <s v="Under Construction"/>
    <s v="INVERTAY HOMES"/>
    <s v="Private"/>
    <s v="21/00736/FULL"/>
    <d v="2022-06-13T00:00:00"/>
    <s v="22/00410/DOM1"/>
    <m/>
    <x v="0"/>
    <s v="No"/>
    <s v="No"/>
    <n v="34"/>
    <n v="0"/>
    <n v="34"/>
    <n v="0"/>
    <n v="0"/>
    <n v="0"/>
    <n v="0"/>
    <n v="34"/>
    <n v="0"/>
    <n v="15"/>
    <n v="19"/>
    <n v="0"/>
    <n v="0"/>
    <n v="0"/>
    <n v="0"/>
    <n v="0"/>
    <n v="0"/>
    <n v="0"/>
    <n v="0"/>
    <n v="34"/>
    <n v="19422.236724853501"/>
    <n v="634.90924869427204"/>
  </r>
  <r>
    <n v="154"/>
    <x v="153"/>
    <s v="H29"/>
    <d v="2023-03-30T00:00:00"/>
    <n v="2023"/>
    <n v="0.36088421383923203"/>
    <s v="SUMMERFIELD AVENUE AT SUMMERFIELD GARDENS, LAND TO WEST"/>
    <n v="343680"/>
    <n v="733153"/>
    <x v="1"/>
    <s v="Under Construction"/>
    <s v="INVERTAY HOMES"/>
    <s v="Private"/>
    <s v="22/00148/FULL"/>
    <d v="2023-03-30T00:00:00"/>
    <s v="22/00700/DOM1"/>
    <m/>
    <x v="0"/>
    <s v="No"/>
    <s v="No"/>
    <n v="8"/>
    <n v="0"/>
    <n v="8"/>
    <n v="0"/>
    <n v="0"/>
    <n v="0"/>
    <n v="0"/>
    <n v="8"/>
    <n v="8"/>
    <n v="0"/>
    <n v="0"/>
    <n v="0"/>
    <n v="0"/>
    <n v="0"/>
    <n v="0"/>
    <n v="0"/>
    <n v="0"/>
    <n v="0"/>
    <n v="0"/>
    <n v="8"/>
    <n v="3608.8421173095699"/>
    <n v="249.57833775266801"/>
  </r>
  <r>
    <n v="155"/>
    <x v="154"/>
    <m/>
    <d v="2023-10-08T00:00:00"/>
    <n v="2023"/>
    <n v="0.21218790143166799"/>
    <s v="DONALDS LANE, SITE OF FORMER 6"/>
    <n v="336880"/>
    <n v="731887"/>
    <x v="1"/>
    <s v="Planning Consent"/>
    <s v="H &amp; H PROPERTIES LTD"/>
    <s v="Private"/>
    <s v="22/00376/FULL"/>
    <d v="2023-10-08T00:00:00"/>
    <m/>
    <m/>
    <x v="0"/>
    <s v="No"/>
    <s v="Yes"/>
    <n v="4"/>
    <n v="0"/>
    <n v="4"/>
    <n v="0"/>
    <n v="0"/>
    <n v="0"/>
    <n v="0"/>
    <n v="4"/>
    <n v="0"/>
    <n v="4"/>
    <n v="0"/>
    <n v="0"/>
    <n v="0"/>
    <n v="0"/>
    <n v="0"/>
    <n v="0"/>
    <n v="0"/>
    <n v="0"/>
    <n v="0"/>
    <n v="4"/>
    <n v="2121.8789825439499"/>
    <n v="319.03849588300102"/>
  </r>
  <r>
    <n v="156"/>
    <x v="155"/>
    <s v="H06"/>
    <d v="2020-01-27T00:00:00"/>
    <n v="2020"/>
    <n v="0.14348205147904999"/>
    <s v="HIGH STREET, LOCHEE, SITE OF WEAVERS VILLAGE"/>
    <n v="337888"/>
    <n v="731469"/>
    <x v="1"/>
    <s v="Consent Expired"/>
    <s v="HILLCREST HA"/>
    <s v="RSL"/>
    <s v="19/00738/FULL"/>
    <d v="2020-01-27T00:00:00"/>
    <s v="21/00029/DOM1"/>
    <m/>
    <x v="0"/>
    <s v="No"/>
    <s v="No"/>
    <n v="14"/>
    <n v="0"/>
    <n v="0"/>
    <n v="14"/>
    <n v="0"/>
    <n v="0"/>
    <n v="0"/>
    <n v="14"/>
    <n v="0"/>
    <n v="0"/>
    <n v="0"/>
    <n v="0"/>
    <n v="0"/>
    <n v="0"/>
    <n v="0"/>
    <n v="0"/>
    <n v="0"/>
    <m/>
    <n v="0"/>
    <m/>
    <n v="1434.8205108642601"/>
    <n v="164.53138720809901"/>
  </r>
  <r>
    <n v="157"/>
    <x v="156"/>
    <m/>
    <d v="2024-02-29T00:00:00"/>
    <n v="2024"/>
    <n v="1.2525693887706701E-2"/>
    <s v="BELL STREET, 86, UNIT 1, INDIA BUILDINGS"/>
    <n v="340205"/>
    <n v="730599"/>
    <x v="2"/>
    <s v="Planning Consent"/>
    <s v="PRIVATE"/>
    <s v="Private"/>
    <s v="23/00855/FULL"/>
    <d v="2024-02-29T00:00:00"/>
    <m/>
    <m/>
    <x v="0"/>
    <s v="No"/>
    <s v="Yes"/>
    <n v="1"/>
    <n v="0"/>
    <n v="0"/>
    <n v="1"/>
    <n v="0"/>
    <n v="0"/>
    <n v="0"/>
    <n v="0"/>
    <n v="0"/>
    <n v="0"/>
    <n v="0"/>
    <n v="0"/>
    <n v="0"/>
    <n v="0"/>
    <n v="0"/>
    <n v="0"/>
    <n v="0"/>
    <m/>
    <n v="0"/>
    <m/>
    <n v="125.256942749023"/>
    <n v="46.608041650361898"/>
  </r>
  <r>
    <n v="158"/>
    <x v="157"/>
    <m/>
    <d v="2024-12-01T00:00:00"/>
    <n v="2024"/>
    <n v="1.1603429469049501E-2"/>
    <s v="BELL STREET, 46 &amp; 50"/>
    <n v="340141"/>
    <n v="730567"/>
    <x v="2"/>
    <s v="Planning Consent"/>
    <s v="PRIVATE"/>
    <s v="Private"/>
    <s v="23/00701/FULL"/>
    <d v="2024-12-01T00:00:00"/>
    <m/>
    <m/>
    <x v="0"/>
    <s v="No"/>
    <s v="Yes"/>
    <n v="1"/>
    <n v="0"/>
    <n v="0"/>
    <n v="1"/>
    <n v="0"/>
    <n v="0"/>
    <n v="0"/>
    <n v="1"/>
    <n v="0"/>
    <n v="0"/>
    <n v="0"/>
    <n v="0"/>
    <n v="0"/>
    <n v="0"/>
    <n v="0"/>
    <n v="0"/>
    <n v="0"/>
    <m/>
    <n v="0"/>
    <m/>
    <n v="116.034317016602"/>
    <n v="44.981216635632599"/>
  </r>
  <r>
    <n v="159"/>
    <x v="158"/>
    <m/>
    <d v="2023-12-21T00:00:00"/>
    <n v="2023"/>
    <n v="1.74965954500656E-2"/>
    <s v="BELL STREET, 86, UNIT 2, INDIA BUILDINGS"/>
    <n v="340204"/>
    <n v="730611"/>
    <x v="2"/>
    <s v="Planning Consent"/>
    <s v="PAVILLION PROPERTIES LTD"/>
    <s v="Private"/>
    <s v="23/00694/FULL"/>
    <d v="2023-12-21T00:00:00"/>
    <m/>
    <m/>
    <x v="0"/>
    <s v="No"/>
    <s v="Yes"/>
    <n v="1"/>
    <n v="0"/>
    <n v="0"/>
    <n v="1"/>
    <n v="0"/>
    <n v="0"/>
    <n v="0"/>
    <n v="0"/>
    <n v="0"/>
    <n v="0"/>
    <n v="0"/>
    <n v="0"/>
    <n v="0"/>
    <n v="0"/>
    <n v="0"/>
    <n v="0"/>
    <n v="0"/>
    <m/>
    <n v="0"/>
    <m/>
    <n v="174.96595764160199"/>
    <n v="65.908385662393101"/>
  </r>
  <r>
    <n v="160"/>
    <x v="159"/>
    <m/>
    <d v="2024-05-02T00:00:00"/>
    <n v="2024"/>
    <n v="0.31681626091734499"/>
    <s v="PERTH ROAD, 381, GARDEN GROUND TO EAST"/>
    <n v="336752"/>
    <n v="730030"/>
    <x v="2"/>
    <s v="Planning Consent"/>
    <s v="PRIVATE"/>
    <s v="Private"/>
    <s v="23/00668/FULL"/>
    <d v="2024-05-02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m/>
    <n v="3168.1626739501999"/>
    <n v="452.280802669504"/>
  </r>
  <r>
    <n v="161"/>
    <x v="160"/>
    <m/>
    <d v="2023-03-11T00:00:00"/>
    <n v="2023"/>
    <n v="1.26934144468927E-2"/>
    <s v="NETHERGATE, 32"/>
    <n v="340252"/>
    <n v="730132"/>
    <x v="2"/>
    <s v="Planning Consent"/>
    <s v="PRIVATE"/>
    <s v="Private"/>
    <s v="23/00587/FULL"/>
    <d v="2023-03-11T00:00:00"/>
    <s v="24/00117/DOM4"/>
    <m/>
    <x v="0"/>
    <s v="No"/>
    <s v="Yes"/>
    <n v="2"/>
    <n v="0"/>
    <n v="0"/>
    <n v="2"/>
    <n v="0"/>
    <n v="0"/>
    <n v="0"/>
    <n v="0"/>
    <n v="0"/>
    <n v="0"/>
    <n v="0"/>
    <n v="0"/>
    <n v="0"/>
    <n v="0"/>
    <n v="0"/>
    <n v="0"/>
    <n v="0"/>
    <m/>
    <n v="0"/>
    <m/>
    <n v="126.934127807617"/>
    <n v="45.760747520149501"/>
  </r>
  <r>
    <n v="162"/>
    <x v="161"/>
    <m/>
    <d v="2023-11-23T00:00:00"/>
    <n v="2023"/>
    <n v="1.41481160907675E-2"/>
    <s v="BELL STREET, 86, INDIA BUILDINGS, 2, UPPER GROUND FLOOR"/>
    <n v="340216"/>
    <n v="730603"/>
    <x v="2"/>
    <s v="Planning Consent"/>
    <s v="PAVILLION PROPERTIES LTD"/>
    <s v="Private"/>
    <s v="23/00571/FULL"/>
    <d v="2023-11-23T00:00:00"/>
    <s v="23/00543/DOM1"/>
    <m/>
    <x v="0"/>
    <s v="No"/>
    <s v="Yes"/>
    <n v="1"/>
    <n v="0"/>
    <n v="0"/>
    <n v="1"/>
    <n v="0"/>
    <n v="0"/>
    <n v="0"/>
    <n v="1"/>
    <n v="0"/>
    <n v="0"/>
    <n v="0"/>
    <n v="0"/>
    <n v="0"/>
    <n v="0"/>
    <n v="0"/>
    <n v="0"/>
    <n v="0"/>
    <m/>
    <n v="0"/>
    <m/>
    <n v="141.48114013671901"/>
    <n v="52.166485040341001"/>
  </r>
  <r>
    <n v="163"/>
    <x v="162"/>
    <m/>
    <d v="2023-12-21T00:00:00"/>
    <n v="2023"/>
    <n v="1.4136677455505399E-2"/>
    <s v="BELL STREET, 86, INDIA BUILDINGS, 2, LOWER GROUND FLOOR"/>
    <n v="340216"/>
    <n v="730603"/>
    <x v="2"/>
    <s v="Planning Consent"/>
    <s v="PAVILLION PROPERTIES LTD"/>
    <s v="Private"/>
    <s v="23/00574/FULL"/>
    <d v="2023-12-21T00:00:00"/>
    <s v="24/00030/DOM1"/>
    <m/>
    <x v="0"/>
    <s v="No"/>
    <s v="Yes"/>
    <n v="1"/>
    <n v="0"/>
    <n v="0"/>
    <n v="1"/>
    <n v="0"/>
    <n v="0"/>
    <n v="0"/>
    <n v="0"/>
    <n v="0"/>
    <n v="0"/>
    <n v="0"/>
    <n v="0"/>
    <n v="0"/>
    <n v="0"/>
    <n v="0"/>
    <n v="0"/>
    <n v="0"/>
    <m/>
    <n v="0"/>
    <m/>
    <n v="141.36679077148401"/>
    <n v="52.166860346502702"/>
  </r>
  <r>
    <n v="164"/>
    <x v="163"/>
    <m/>
    <d v="2023-07-11T00:00:00"/>
    <n v="2023"/>
    <n v="0.15233521015216001"/>
    <s v="DICKSON AVENUE, THE ROCK"/>
    <n v="336124"/>
    <n v="731003"/>
    <x v="1"/>
    <s v="Planning Consent"/>
    <s v="ROCK DEVELOPMENTS (SCOTLAND) LTD"/>
    <s v="Private"/>
    <s v="23/00510/FULL"/>
    <d v="2023-07-11T00:00:00"/>
    <s v="23/00008/DOM1"/>
    <m/>
    <x v="0"/>
    <s v="No"/>
    <s v="Yes"/>
    <n v="16"/>
    <n v="0"/>
    <n v="0"/>
    <n v="16"/>
    <n v="0"/>
    <n v="0"/>
    <n v="0"/>
    <n v="16"/>
    <n v="0"/>
    <n v="8"/>
    <n v="8"/>
    <n v="0"/>
    <n v="0"/>
    <n v="0"/>
    <n v="0"/>
    <n v="0"/>
    <n v="0"/>
    <n v="0"/>
    <n v="0"/>
    <n v="16"/>
    <n v="1523.3521270752001"/>
    <n v="176.32904095374101"/>
  </r>
  <r>
    <n v="165"/>
    <x v="164"/>
    <m/>
    <d v="2024-10-01T00:00:00"/>
    <n v="2024"/>
    <n v="0.23969794819395099"/>
    <s v="NETHERGATE, 172, CAIRD REST"/>
    <n v="339852"/>
    <n v="729813"/>
    <x v="1"/>
    <s v="Planning Consent"/>
    <s v="PRIVATE"/>
    <s v="Private"/>
    <s v="23/00451/FULL"/>
    <d v="2024-10-01T00:00:00"/>
    <m/>
    <m/>
    <x v="0"/>
    <s v="No"/>
    <s v="Yes"/>
    <n v="5"/>
    <n v="0"/>
    <n v="0"/>
    <n v="5"/>
    <n v="0"/>
    <n v="0"/>
    <n v="0"/>
    <n v="5"/>
    <n v="0"/>
    <n v="5"/>
    <n v="0"/>
    <n v="0"/>
    <n v="0"/>
    <n v="0"/>
    <n v="0"/>
    <n v="0"/>
    <n v="0"/>
    <n v="0"/>
    <n v="0"/>
    <n v="5"/>
    <n v="2396.9794921875"/>
    <n v="203.655498350035"/>
  </r>
  <r>
    <n v="166"/>
    <x v="165"/>
    <m/>
    <d v="2024-03-20T00:00:00"/>
    <n v="2024"/>
    <n v="0.133380249194789"/>
    <s v="DUNDEE ROAD, 69, WOODCROFT"/>
    <n v="344360"/>
    <n v="731160"/>
    <x v="2"/>
    <s v="Planning Consent"/>
    <s v="PRIVATE"/>
    <s v="Private"/>
    <s v="23/00404/FULL"/>
    <d v="2024-03-20T00:00:00"/>
    <m/>
    <m/>
    <x v="1"/>
    <s v="No"/>
    <s v="Yes"/>
    <n v="1"/>
    <n v="0"/>
    <n v="1"/>
    <n v="0"/>
    <n v="0"/>
    <n v="0"/>
    <n v="0"/>
    <n v="0"/>
    <n v="0"/>
    <n v="0"/>
    <n v="0"/>
    <n v="0"/>
    <n v="0"/>
    <n v="0"/>
    <n v="0"/>
    <n v="0"/>
    <n v="0"/>
    <m/>
    <n v="0"/>
    <m/>
    <n v="1333.8025207519499"/>
    <n v="149.949412541708"/>
  </r>
  <r>
    <n v="167"/>
    <x v="166"/>
    <m/>
    <d v="2023-12-10T00:00:00"/>
    <n v="2023"/>
    <n v="0.20269958204584801"/>
    <s v="KINGHORNE ROAD, 119A, THE HIGH KIRK"/>
    <n v="339491"/>
    <n v="731290"/>
    <x v="1"/>
    <s v="Planning Consent"/>
    <s v="DAVID GRAY  CONSTRUCTION LTD"/>
    <s v="Private"/>
    <s v="23/00389/FULL"/>
    <d v="2023-12-10T00:00:00"/>
    <s v="24/00145/DOM1 (pending)"/>
    <m/>
    <x v="0"/>
    <s v="No"/>
    <s v="Yes"/>
    <n v="8"/>
    <n v="0"/>
    <n v="0"/>
    <n v="8"/>
    <n v="0"/>
    <n v="0"/>
    <n v="0"/>
    <n v="8"/>
    <n v="0"/>
    <n v="8"/>
    <n v="0"/>
    <n v="0"/>
    <n v="0"/>
    <n v="0"/>
    <n v="0"/>
    <n v="0"/>
    <n v="0"/>
    <n v="0"/>
    <n v="0"/>
    <n v="8"/>
    <n v="2026.99571228027"/>
    <n v="206.10395473259101"/>
  </r>
  <r>
    <n v="169"/>
    <x v="167"/>
    <m/>
    <d v="2023-07-31T00:00:00"/>
    <n v="2023"/>
    <n v="7.7226592003015503E-3"/>
    <s v="BELL STREET, 86, UG FLOOR, INDIA BUILDINGS"/>
    <n v="340211"/>
    <n v="730614"/>
    <x v="2"/>
    <s v="Planning Consent"/>
    <s v="PAVILLION PROPERTIES LTD"/>
    <s v="Private"/>
    <s v="23/00345/FULL"/>
    <d v="2023-07-31T00:00:00"/>
    <m/>
    <m/>
    <x v="0"/>
    <s v="No"/>
    <s v="Yes"/>
    <n v="1"/>
    <n v="0"/>
    <n v="0"/>
    <n v="1"/>
    <n v="0"/>
    <n v="0"/>
    <n v="0"/>
    <n v="1"/>
    <n v="0"/>
    <n v="0"/>
    <n v="0"/>
    <n v="0"/>
    <n v="0"/>
    <n v="0"/>
    <n v="0"/>
    <n v="0"/>
    <n v="0"/>
    <m/>
    <n v="0"/>
    <m/>
    <n v="77.226608276367202"/>
    <n v="38.813728984187499"/>
  </r>
  <r>
    <n v="170"/>
    <x v="168"/>
    <m/>
    <d v="2023-07-28T00:00:00"/>
    <n v="2023"/>
    <n v="4.0554276958288601E-3"/>
    <s v="CLEGHORN STREET, 25A "/>
    <n v="338740"/>
    <n v="730664"/>
    <x v="2"/>
    <s v="Planning Consent"/>
    <s v="PRIVATE"/>
    <s v="Private"/>
    <s v="23/00279/FULL"/>
    <d v="2023-07-28T00:00:00"/>
    <s v="23/00422/DOM4"/>
    <m/>
    <x v="0"/>
    <s v="No"/>
    <s v="Yes"/>
    <n v="1"/>
    <n v="0"/>
    <n v="0"/>
    <n v="1"/>
    <n v="0"/>
    <n v="0"/>
    <n v="0"/>
    <n v="1"/>
    <n v="0"/>
    <n v="0"/>
    <n v="0"/>
    <n v="0"/>
    <n v="0"/>
    <n v="0"/>
    <n v="0"/>
    <n v="0"/>
    <n v="0"/>
    <m/>
    <n v="0"/>
    <m/>
    <n v="40.5542602539063"/>
    <n v="27.979364722904698"/>
  </r>
  <r>
    <n v="171"/>
    <x v="169"/>
    <m/>
    <d v="2023-07-21T00:00:00"/>
    <n v="2023"/>
    <n v="8.5897913524358993E-2"/>
    <s v="STRATHERN ROAD, 32, GARDEN GROUND"/>
    <n v="344271"/>
    <n v="731367"/>
    <x v="2"/>
    <s v="Under Construction"/>
    <s v="PRIVATE"/>
    <s v="Private"/>
    <s v="23/00199/FULL"/>
    <d v="2023-07-21T00:00:00"/>
    <s v="23/00589/DOM2"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m/>
    <n v="858.97911071777298"/>
    <n v="174.70747064184499"/>
  </r>
  <r>
    <n v="172"/>
    <x v="170"/>
    <m/>
    <d v="2024-01-23T00:00:00"/>
    <n v="2024"/>
    <n v="5.0141812315407298E-2"/>
    <s v="SHEPHERDS LOAN, LAND SOUTH OF STEPHENS YARD"/>
    <n v="338788"/>
    <n v="729671"/>
    <x v="2"/>
    <s v="Planning Consent"/>
    <s v="PRIVATE"/>
    <s v="Private"/>
    <s v="23/00170/FULL"/>
    <d v="2024-01-23T00:00:00"/>
    <m/>
    <m/>
    <x v="0"/>
    <s v="No"/>
    <s v="Yes"/>
    <n v="2"/>
    <n v="0"/>
    <n v="2"/>
    <n v="0"/>
    <n v="0"/>
    <n v="0"/>
    <n v="0"/>
    <n v="2"/>
    <n v="0"/>
    <n v="0"/>
    <n v="0"/>
    <n v="0"/>
    <n v="0"/>
    <n v="0"/>
    <n v="0"/>
    <n v="0"/>
    <n v="0"/>
    <m/>
    <n v="0"/>
    <n v="0"/>
    <n v="501.41807556152298"/>
    <n v="97.314405060079807"/>
  </r>
  <r>
    <n v="173"/>
    <x v="171"/>
    <m/>
    <d v="2023-05-19T00:00:00"/>
    <n v="2023"/>
    <n v="0.115542344009971"/>
    <s v="BROUGHTY FERRY ROAD, 208"/>
    <n v="342298"/>
    <n v="731118"/>
    <x v="2"/>
    <s v="Planning Consent"/>
    <s v="PRIVATE"/>
    <s v="Private"/>
    <s v="23/00128/FULL"/>
    <d v="2023-05-19T00:00:00"/>
    <m/>
    <m/>
    <x v="0"/>
    <s v="No"/>
    <s v="Yes"/>
    <n v="2"/>
    <n v="0"/>
    <n v="2"/>
    <n v="0"/>
    <n v="0"/>
    <n v="0"/>
    <n v="0"/>
    <n v="2"/>
    <n v="0"/>
    <n v="0"/>
    <n v="0"/>
    <n v="0"/>
    <n v="0"/>
    <n v="0"/>
    <n v="0"/>
    <n v="0"/>
    <n v="0"/>
    <m/>
    <n v="0"/>
    <m/>
    <n v="1155.4234161377001"/>
    <n v="145.27526812110301"/>
  </r>
  <r>
    <n v="174"/>
    <x v="172"/>
    <m/>
    <d v="2023-05-18T00:00:00"/>
    <n v="2023"/>
    <n v="3.3732719998167598E-2"/>
    <s v="DANIEL TERRACE, 2"/>
    <n v="339440"/>
    <n v="730204"/>
    <x v="2"/>
    <s v="Planning Consent"/>
    <s v="PRIVATE"/>
    <s v="Private"/>
    <s v="23/00112/FULL"/>
    <d v="2023-05-18T00:00:00"/>
    <m/>
    <m/>
    <x v="0"/>
    <s v="No"/>
    <s v="Yes"/>
    <n v="2"/>
    <n v="0"/>
    <n v="0"/>
    <n v="2"/>
    <n v="0"/>
    <n v="0"/>
    <n v="0"/>
    <n v="2"/>
    <n v="0"/>
    <n v="0"/>
    <n v="0"/>
    <n v="0"/>
    <n v="0"/>
    <n v="0"/>
    <n v="0"/>
    <n v="0"/>
    <n v="0"/>
    <m/>
    <n v="0"/>
    <n v="0"/>
    <n v="337.32717895507801"/>
    <n v="73.197806152848898"/>
  </r>
  <r>
    <n v="175"/>
    <x v="173"/>
    <m/>
    <d v="2023-10-08T00:00:00"/>
    <n v="2023"/>
    <n v="3.1726485937886399E-2"/>
    <s v="KINGSWAY, 74, GARDEN GROUND"/>
    <n v="340809"/>
    <n v="732504"/>
    <x v="2"/>
    <s v="Planning Consent"/>
    <s v="PRIVATE"/>
    <s v="Private"/>
    <s v="23/00110/PPPL"/>
    <d v="2023-10-08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m/>
    <n v="317.26486206054699"/>
    <n v="76.764214156707396"/>
  </r>
  <r>
    <n v="176"/>
    <x v="174"/>
    <m/>
    <d v="2024-03-15T00:00:00"/>
    <n v="2024"/>
    <n v="3.55160999999386E-2"/>
    <s v="GOTTERSTONE DRIVE, 61"/>
    <n v="344544"/>
    <n v="731906"/>
    <x v="2"/>
    <s v="Planning Consent"/>
    <s v="PRIVATE"/>
    <s v="Private"/>
    <s v="23/00079/FULL"/>
    <d v="2024-03-15T00:00:00"/>
    <m/>
    <m/>
    <x v="0"/>
    <s v="No"/>
    <s v="Yes"/>
    <n v="1"/>
    <n v="0"/>
    <n v="1"/>
    <n v="0"/>
    <n v="0"/>
    <n v="0"/>
    <n v="0"/>
    <n v="1"/>
    <n v="0"/>
    <n v="0"/>
    <n v="0"/>
    <n v="0"/>
    <n v="0"/>
    <n v="0"/>
    <n v="0"/>
    <n v="0"/>
    <n v="0"/>
    <m/>
    <n v="0"/>
    <n v="0"/>
    <n v="355.16105651855497"/>
    <n v="74.504129181987807"/>
  </r>
  <r>
    <n v="177"/>
    <x v="175"/>
    <s v="H27"/>
    <d v="2023-09-13T00:00:00"/>
    <n v="2023"/>
    <n v="1.2007074263635"/>
    <s v="Whitfield Drive, South, Site Of Whitfield Primary School"/>
    <n v="343204"/>
    <n v="733328"/>
    <x v="1"/>
    <s v="Planning Consent"/>
    <s v="ANGUS HA"/>
    <s v="Housing Association"/>
    <s v="19/00716/FULL"/>
    <d v="2023-09-13T00:00:00"/>
    <s v="23/00047/DOM1"/>
    <m/>
    <x v="0"/>
    <s v="No"/>
    <m/>
    <n v="18"/>
    <n v="0"/>
    <n v="10"/>
    <n v="8"/>
    <n v="0"/>
    <n v="0"/>
    <n v="0"/>
    <n v="18"/>
    <n v="0"/>
    <n v="0"/>
    <n v="18"/>
    <n v="0"/>
    <n v="0"/>
    <n v="0"/>
    <n v="0"/>
    <n v="0"/>
    <n v="0"/>
    <n v="0"/>
    <n v="0"/>
    <n v="18"/>
    <n v="12007.0742797852"/>
    <n v="637.79790290172605"/>
  </r>
  <r>
    <n v="178"/>
    <x v="176"/>
    <s v="H27"/>
    <d v="2023-09-13T00:00:00"/>
    <n v="2023"/>
    <n v="1.15468386803526"/>
    <s v="Whitfield Drive, North, Site Of Whitfield Primary School"/>
    <n v="343234"/>
    <n v="733380"/>
    <x v="1"/>
    <s v="Planning Consent"/>
    <s v="GEORGE MARTIN "/>
    <s v="Private"/>
    <s v="19/00776/FULL"/>
    <d v="2023-09-13T00:00:00"/>
    <m/>
    <m/>
    <x v="0"/>
    <s v="No"/>
    <s v="No"/>
    <n v="30"/>
    <n v="0"/>
    <n v="30"/>
    <n v="0"/>
    <n v="0"/>
    <n v="0"/>
    <n v="0"/>
    <n v="30"/>
    <n v="0"/>
    <n v="0"/>
    <n v="0"/>
    <n v="15"/>
    <n v="15"/>
    <n v="0"/>
    <n v="0"/>
    <n v="0"/>
    <n v="0"/>
    <n v="0"/>
    <n v="0"/>
    <n v="30"/>
    <n v="11546.8387451172"/>
    <n v="533.45340692534"/>
  </r>
  <r>
    <n v="179"/>
    <x v="177"/>
    <s v="H06"/>
    <d v="2023-04-05T00:00:00"/>
    <n v="2023"/>
    <n v="4.1786794998180499E-2"/>
    <s v="BURNSIDE STREET, 6-10, SITE OF"/>
    <n v="337951"/>
    <n v="731543"/>
    <x v="2"/>
    <s v="Under Construction"/>
    <s v="PRIVATE"/>
    <s v="Private"/>
    <s v="22/00748/FULL"/>
    <d v="2023-04-05T00:00:00"/>
    <s v="23/00119/DOM1"/>
    <m/>
    <x v="0"/>
    <s v="No"/>
    <s v="No"/>
    <n v="2"/>
    <n v="0"/>
    <n v="2"/>
    <n v="0"/>
    <n v="0"/>
    <n v="0"/>
    <n v="0"/>
    <n v="2"/>
    <n v="0"/>
    <n v="0"/>
    <n v="0"/>
    <n v="0"/>
    <n v="0"/>
    <n v="0"/>
    <n v="0"/>
    <n v="0"/>
    <n v="0"/>
    <m/>
    <n v="0"/>
    <m/>
    <n v="417.86796569824202"/>
    <n v="83.223111304082707"/>
  </r>
  <r>
    <n v="180"/>
    <x v="178"/>
    <m/>
    <d v="2021-11-18T00:00:00"/>
    <n v="2021"/>
    <n v="2.84122882491347E-2"/>
    <s v="WHITEHALL CRESCENT, 3"/>
    <n v="340357"/>
    <n v="730131"/>
    <x v="1"/>
    <s v="Planning Consent"/>
    <s v="JOUP PROPERTY LTD"/>
    <s v="Private"/>
    <s v="21/00636/FULL"/>
    <d v="2021-11-18T00:00:00"/>
    <s v="22/00065/DOM1"/>
    <m/>
    <x v="0"/>
    <s v="No"/>
    <s v="Yes"/>
    <n v="14"/>
    <n v="0"/>
    <n v="0"/>
    <n v="14"/>
    <n v="0"/>
    <n v="0"/>
    <n v="0"/>
    <n v="14"/>
    <n v="14"/>
    <n v="0"/>
    <n v="0"/>
    <n v="0"/>
    <n v="0"/>
    <n v="0"/>
    <n v="0"/>
    <n v="0"/>
    <n v="0"/>
    <n v="0"/>
    <n v="0"/>
    <n v="14"/>
    <n v="284.12283325195301"/>
    <n v="72.071235442182498"/>
  </r>
  <r>
    <n v="181"/>
    <x v="179"/>
    <m/>
    <d v="2007-03-23T00:00:00"/>
    <n v="2007"/>
    <n v="0.13557536590515701"/>
    <s v="ESPLANADE, FORMER JACQUES NIGHTCLUB"/>
    <n v="347257"/>
    <n v="730953"/>
    <x v="1"/>
    <s v="Site Complete"/>
    <s v="GL RESIDENTIAL"/>
    <s v="Private"/>
    <s v="11/00340/FULL"/>
    <d v="2011-05-09T00:00:00"/>
    <s v="12/00395/NBUILD"/>
    <d v="2024-02-29T00:00:00"/>
    <x v="0"/>
    <s v="No"/>
    <s v="Yes"/>
    <n v="11"/>
    <n v="1"/>
    <n v="0"/>
    <n v="11"/>
    <n v="1"/>
    <n v="11"/>
    <n v="1"/>
    <n v="0"/>
    <n v="0"/>
    <n v="0"/>
    <n v="0"/>
    <n v="0"/>
    <n v="0"/>
    <n v="0"/>
    <n v="0"/>
    <n v="0"/>
    <n v="0"/>
    <n v="0"/>
    <n v="0"/>
    <n v="0"/>
    <n v="1355.7536926269499"/>
    <n v="166.59080364381501"/>
  </r>
  <r>
    <n v="182"/>
    <x v="180"/>
    <s v="."/>
    <d v="2017-04-08T00:00:00"/>
    <n v="2017"/>
    <n v="0.124914262999922"/>
    <s v="CLAVERHOUSE OLD ROAD, LAND TO EAST OF 1"/>
    <n v="340818"/>
    <n v="733650"/>
    <x v="1"/>
    <s v="Site Complete"/>
    <s v="RIVERVIEW CONSTRUCTION LTD"/>
    <s v="Private"/>
    <s v="16/00987/FULL"/>
    <d v="2017-04-08T00:00:00"/>
    <s v="18/00146/DOM1"/>
    <d v="2023-05-23T00:00:00"/>
    <x v="0"/>
    <s v="No"/>
    <s v="Yes"/>
    <n v="4"/>
    <n v="0"/>
    <n v="4"/>
    <n v="0"/>
    <n v="4"/>
    <n v="4"/>
    <n v="1"/>
    <n v="0"/>
    <n v="0"/>
    <n v="0"/>
    <n v="0"/>
    <n v="0"/>
    <n v="0"/>
    <n v="0"/>
    <n v="0"/>
    <n v="0"/>
    <n v="0"/>
    <n v="0"/>
    <n v="0"/>
    <n v="0"/>
    <n v="1249.1426544189501"/>
    <n v="155.89783361241501"/>
  </r>
  <r>
    <n v="183"/>
    <x v="181"/>
    <s v="."/>
    <d v="2018-12-20T00:00:00"/>
    <n v="2018"/>
    <n v="0.10108984593146"/>
    <s v="RAGLAN STREET, 5"/>
    <n v="341183"/>
    <n v="731151"/>
    <x v="1"/>
    <s v="Site Complete"/>
    <s v="JF KEGS"/>
    <s v="RSL"/>
    <s v="18/00984/FULL"/>
    <d v="2018-12-20T00:00:00"/>
    <s v="22/00206/DOM1"/>
    <d v="2023-04-12T00:00:00"/>
    <x v="0"/>
    <s v="No"/>
    <s v="Yes"/>
    <n v="16"/>
    <n v="0"/>
    <n v="0"/>
    <n v="16"/>
    <n v="16"/>
    <n v="16"/>
    <n v="1"/>
    <n v="0"/>
    <n v="0"/>
    <n v="0"/>
    <n v="0"/>
    <n v="0"/>
    <n v="0"/>
    <n v="0"/>
    <n v="0"/>
    <n v="0"/>
    <n v="0"/>
    <n v="0"/>
    <n v="0"/>
    <n v="0"/>
    <n v="1010.89839172363"/>
    <n v="136.03068423786999"/>
  </r>
  <r>
    <n v="184"/>
    <x v="182"/>
    <m/>
    <d v="2022-08-29T00:00:00"/>
    <n v="2022"/>
    <n v="0.13201619809715801"/>
    <s v="STRATHMARTINE ROAD, 347-349"/>
    <n v="338960"/>
    <n v="733333"/>
    <x v="2"/>
    <s v="Site Complete"/>
    <s v="PRIVATE"/>
    <s v="Private"/>
    <s v="22/00444/FULL"/>
    <d v="2022-08-29T00:00:00"/>
    <s v="22/00464/DOM1"/>
    <d v="2024-03-15T00:00:00"/>
    <x v="0"/>
    <s v="No"/>
    <s v="Yes"/>
    <n v="1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1320.1619567871101"/>
    <n v="155.1631206589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C4AD3-B6E4-421F-9E76-C0FE6FC45B0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7:D21" firstHeaderRow="1" firstDataRow="2" firstDataCol="1"/>
  <pivotFields count="42">
    <pivotField compact="0" outline="0" showAll="0"/>
    <pivotField compact="0" outline="0" showAll="0">
      <items count="184">
        <item x="0"/>
        <item x="2"/>
        <item x="43"/>
        <item x="17"/>
        <item x="1"/>
        <item x="179"/>
        <item x="38"/>
        <item x="19"/>
        <item x="60"/>
        <item x="4"/>
        <item x="5"/>
        <item x="35"/>
        <item x="46"/>
        <item x="44"/>
        <item x="42"/>
        <item x="6"/>
        <item x="7"/>
        <item x="26"/>
        <item x="59"/>
        <item x="41"/>
        <item x="8"/>
        <item x="40"/>
        <item x="39"/>
        <item x="45"/>
        <item x="9"/>
        <item x="10"/>
        <item x="13"/>
        <item x="65"/>
        <item x="14"/>
        <item x="34"/>
        <item x="15"/>
        <item x="57"/>
        <item x="180"/>
        <item x="18"/>
        <item x="58"/>
        <item x="20"/>
        <item x="3"/>
        <item x="181"/>
        <item x="37"/>
        <item x="48"/>
        <item x="49"/>
        <item x="50"/>
        <item x="51"/>
        <item x="53"/>
        <item x="54"/>
        <item x="55"/>
        <item x="36"/>
        <item x="47"/>
        <item x="52"/>
        <item x="72"/>
        <item x="64"/>
        <item x="68"/>
        <item x="70"/>
        <item x="69"/>
        <item x="71"/>
        <item x="147"/>
        <item x="74"/>
        <item x="73"/>
        <item x="32"/>
        <item x="76"/>
        <item x="77"/>
        <item x="80"/>
        <item x="99"/>
        <item x="103"/>
        <item x="104"/>
        <item x="82"/>
        <item x="83"/>
        <item x="88"/>
        <item x="90"/>
        <item x="92"/>
        <item x="95"/>
        <item x="96"/>
        <item x="97"/>
        <item x="98"/>
        <item x="114"/>
        <item x="138"/>
        <item x="127"/>
        <item x="128"/>
        <item x="132"/>
        <item x="178"/>
        <item x="133"/>
        <item x="134"/>
        <item x="135"/>
        <item x="136"/>
        <item x="137"/>
        <item x="131"/>
        <item x="140"/>
        <item x="139"/>
        <item x="182"/>
        <item x="141"/>
        <item x="142"/>
        <item x="143"/>
        <item x="129"/>
        <item x="144"/>
        <item x="145"/>
        <item x="146"/>
        <item x="148"/>
        <item x="149"/>
        <item x="150"/>
        <item x="172"/>
        <item x="171"/>
        <item x="169"/>
        <item x="168"/>
        <item x="167"/>
        <item x="154"/>
        <item x="173"/>
        <item x="166"/>
        <item x="160"/>
        <item x="163"/>
        <item x="161"/>
        <item x="158"/>
        <item x="162"/>
        <item x="164"/>
        <item x="157"/>
        <item x="170"/>
        <item x="159"/>
        <item x="156"/>
        <item x="174"/>
        <item x="165"/>
        <item x="16"/>
        <item x="61"/>
        <item x="63"/>
        <item x="130"/>
        <item x="175"/>
        <item x="176"/>
        <item x="151"/>
        <item x="81"/>
        <item x="12"/>
        <item x="11"/>
        <item x="155"/>
        <item x="177"/>
        <item x="21"/>
        <item x="24"/>
        <item x="22"/>
        <item x="23"/>
        <item x="25"/>
        <item x="27"/>
        <item x="28"/>
        <item x="29"/>
        <item x="30"/>
        <item x="31"/>
        <item x="33"/>
        <item x="56"/>
        <item x="79"/>
        <item x="152"/>
        <item x="153"/>
        <item x="62"/>
        <item x="66"/>
        <item x="67"/>
        <item x="75"/>
        <item x="78"/>
        <item x="94"/>
        <item x="100"/>
        <item x="101"/>
        <item x="102"/>
        <item x="105"/>
        <item x="106"/>
        <item x="107"/>
        <item x="108"/>
        <item x="109"/>
        <item x="110"/>
        <item x="111"/>
        <item x="112"/>
        <item x="84"/>
        <item x="85"/>
        <item x="86"/>
        <item x="87"/>
        <item x="89"/>
        <item x="91"/>
        <item x="93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compact="0" outline="0" showAll="0"/>
    <pivotField compact="0" numFmtId="165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3">
    <i>
      <x/>
    </i>
    <i>
      <x v="1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Sum of Site_capacity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732DA-9482-48DE-B45D-5729551BF46C}" name="Housing_Land_Audit_Data_2023_to_2024" displayName="Housing_Land_Audit_Data_2023_to_2024" ref="A1:AP184" totalsRowShown="0">
  <autoFilter ref="A1:AP184" xr:uid="{D9F732DA-9482-48DE-B45D-5729551BF46C}"/>
  <sortState xmlns:xlrd2="http://schemas.microsoft.com/office/spreadsheetml/2017/richdata2" ref="A2:AP184">
    <sortCondition descending="1" ref="U1:U184"/>
  </sortState>
  <tableColumns count="42">
    <tableColumn id="1" xr3:uid="{95DDFC23-5C42-4FF7-87B2-C93D17EC61C4}" name="OBJECTID"/>
    <tableColumn id="2" xr3:uid="{DF93CDE5-A262-4C1D-B5BD-76056A5C02B8}" name="Site_ID"/>
    <tableColumn id="3" xr3:uid="{18A25585-CD7C-4A1F-A9AA-10FBC199C6A9}" name="LDP2_reference"/>
    <tableColumn id="45" xr3:uid="{7FCF9256-5307-4E08-AE8D-FF5C950050E6}" name="Date_site_added" dataDxfId="5"/>
    <tableColumn id="42" xr3:uid="{D6374C87-D3EA-4020-B40C-E2B1A5DE893B}" name="Year_site_added" dataDxfId="4">
      <calculatedColumnFormula>YEAR(D2)</calculatedColumnFormula>
    </tableColumn>
    <tableColumn id="5" xr3:uid="{0E35A5E6-6788-4396-986A-071591D1939C}" name="Area_ha"/>
    <tableColumn id="6" xr3:uid="{E013DF9A-530C-4D47-BA29-B65E20DEAE85}" name="Site_address"/>
    <tableColumn id="7" xr3:uid="{DF925F0B-9AD0-4788-A36A-2F3FDDD3D2BC}" name="Easting"/>
    <tableColumn id="8" xr3:uid="{D931CE33-4794-44DD-9F3F-945B7A7AAC79}" name="Northing"/>
    <tableColumn id="9" xr3:uid="{6080C770-536C-4150-8855-BF1962611D19}" name="Site_type"/>
    <tableColumn id="10" xr3:uid="{EC0F6491-4FD9-4D82-A66F-2AB171D95876}" name="Site_status"/>
    <tableColumn id="11" xr3:uid="{4F9FA283-16F7-4479-8FC7-C128B4F04A13}" name="Owner_Developer"/>
    <tableColumn id="12" xr3:uid="{3C462DD5-B04F-4057-A122-B18D980F35EC}" name="Tenure_type"/>
    <tableColumn id="13" xr3:uid="{962EF960-FED4-4111-84E0-2764A3AB143E}" name="Planning_application_reference"/>
    <tableColumn id="14" xr3:uid="{8C2BF4FD-8EDE-405A-98D9-FFA64911A827}" name="Last_planning_approval_date" dataDxfId="2"/>
    <tableColumn id="15" xr3:uid="{2C497FBB-6147-464E-869D-5CA7D3CE0C91}" name="Building_warrant_reference"/>
    <tableColumn id="16" xr3:uid="{32BACBC0-C4B2-41B6-A3B3-379E806D4B84}" name="Date_completed_or_expired" dataDxfId="3"/>
    <tableColumn id="17" xr3:uid="{1E0F3F14-297E-4E66-8295-D5A808A81B44}" name="Land_type"/>
    <tableColumn id="18" xr3:uid="{5028CC5F-85F2-4D7C-92A7-BBA33B5FEFBF}" name="Self_build"/>
    <tableColumn id="19" xr3:uid="{5CC71A8A-A434-4880-8EC2-21C5751F164C}" name="Windfall_site"/>
    <tableColumn id="20" xr3:uid="{D85C8418-58A2-40DC-B088-34BE10458C0D}" name="Site_capacity"/>
    <tableColumn id="21" xr3:uid="{76F5392F-6181-42FB-872B-DE234BA44B3F}" name="BW_plots_written_off"/>
    <tableColumn id="22" xr3:uid="{FA4C46E5-50B3-450E-8CCB-516C665BD094}" name="No_of_houses"/>
    <tableColumn id="23" xr3:uid="{C7C97CDA-73DB-4237-AE84-2F3E9A5742CC}" name="No_of_flats"/>
    <tableColumn id="24" xr3:uid="{A096E1EB-14B6-4C10-925F-1E8BB03873E2}" name="Plots_completed_in_survey_year"/>
    <tableColumn id="25" xr3:uid="{46B7362D-8C63-4289-886F-60C91C613386}" name="Total_completions"/>
    <tableColumn id="41" xr3:uid="{2464C156-BD23-4B50-95E1-9F64A7B091F4}" name="Completion_percent" dataDxfId="7">
      <calculatedColumnFormula>Z2/U2</calculatedColumnFormula>
    </tableColumn>
    <tableColumn id="26" xr3:uid="{B15E6905-00C8-433B-A71F-E5EB240A0066}" name="Units_to_build"/>
    <tableColumn id="27" xr3:uid="{F226F988-9905-4F4B-8026-2442794A0179}" name="Year_24_to_25"/>
    <tableColumn id="28" xr3:uid="{AB3714EB-F29F-497A-9A2E-D929F9EE88BE}" name="Year_25_to_26"/>
    <tableColumn id="29" xr3:uid="{4D20C662-3F5B-4CD5-B6B5-77642ADFF8C1}" name="Year_26_to_27"/>
    <tableColumn id="30" xr3:uid="{6F9976F8-70B2-480E-AF73-A2D698D4D545}" name="Year_27_to_28"/>
    <tableColumn id="31" xr3:uid="{C9645D7A-D718-4C86-8122-7304FF802369}" name="Year_28_to_29"/>
    <tableColumn id="32" xr3:uid="{E1701DE7-A82F-46E1-A48B-2F554F47E98B}" name="Year_29_to_30"/>
    <tableColumn id="33" xr3:uid="{DDEEFC97-E8FA-449C-982E-4ABCD8A44CE9}" name="Year_30_to_31"/>
    <tableColumn id="34" xr3:uid="{A7F2DFF3-9370-4BC7-A72D-37F9A866B197}" name="Year_31_to_32"/>
    <tableColumn id="35" xr3:uid="{E5D5179A-6B19-46CE-9E53-15C60D8400F2}" name="Year_32_to_33"/>
    <tableColumn id="36" xr3:uid="{B477AEA5-3409-4777-912B-5378D1B489AD}" name="Year_33_to_34"/>
    <tableColumn id="37" xr3:uid="{BA91DF22-C489-4599-8C8A-6FC2735E42C9}" name="Later_years"/>
    <tableColumn id="38" xr3:uid="{88F55631-2FA5-4CD1-96E1-9BB13B6CF78E}" name="Total_programmed"/>
    <tableColumn id="39" xr3:uid="{CB4F371B-996A-434F-90D5-9135250D67BD}" name="Shape__Area"/>
    <tableColumn id="40" xr3:uid="{65E59C2A-661F-41CC-B7E1-52F088B5CF09}" name="Shape__Length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C70DB1-41A1-4D88-88D7-480EF6AD5AF8}" name="Land_Type_Counts" displayName="Land_Type_Counts" ref="A10:B12" totalsRowShown="0">
  <autoFilter ref="A10:B12" xr:uid="{6CC70DB1-41A1-4D88-88D7-480EF6AD5AF8}"/>
  <tableColumns count="2">
    <tableColumn id="1" xr3:uid="{C7092B4C-A428-4FE1-83E3-B666D766BAC1}" name="Land Type"/>
    <tableColumn id="2" xr3:uid="{2CF2FE49-7D8C-4EAF-BCF6-4C1276C19EBA}" name="Count" dataDxfId="6">
      <calculatedColumnFormula>COUNTIF('HousingLandAudit23_24_-70490818'!Q:Q,"Brownfield")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28A1-572E-41CA-A457-F530628D77A5}">
  <dimension ref="A1:AP185"/>
  <sheetViews>
    <sheetView tabSelected="1" workbookViewId="0">
      <selection activeCell="W21" sqref="W21"/>
    </sheetView>
  </sheetViews>
  <sheetFormatPr defaultRowHeight="15" x14ac:dyDescent="0.25"/>
  <cols>
    <col min="1" max="1" width="12.140625" bestFit="1" customWidth="1"/>
    <col min="2" max="2" width="9.7109375" bestFit="1" customWidth="1"/>
    <col min="3" max="3" width="17.7109375" bestFit="1" customWidth="1"/>
    <col min="4" max="4" width="18.140625" style="4" customWidth="1"/>
    <col min="5" max="5" width="18.140625" style="5" customWidth="1"/>
    <col min="7" max="7" width="12" bestFit="1" customWidth="1"/>
    <col min="8" max="9" width="9.85546875" bestFit="1" customWidth="1"/>
    <col min="10" max="11" width="18.28515625" bestFit="1" customWidth="1"/>
    <col min="12" max="13" width="19.42578125" bestFit="1" customWidth="1"/>
    <col min="14" max="14" width="29.5703125" bestFit="1" customWidth="1"/>
    <col min="15" max="15" width="29.5703125" style="3" bestFit="1" customWidth="1"/>
    <col min="16" max="16" width="75.85546875" bestFit="1" customWidth="1"/>
    <col min="17" max="17" width="29.140625" style="3" bestFit="1" customWidth="1"/>
    <col min="18" max="18" width="12.28515625" bestFit="1" customWidth="1"/>
    <col min="19" max="20" width="15.140625" bestFit="1" customWidth="1"/>
    <col min="21" max="21" width="22.7109375" bestFit="1" customWidth="1"/>
    <col min="22" max="22" width="16.140625" bestFit="1" customWidth="1"/>
    <col min="23" max="23" width="13.42578125" bestFit="1" customWidth="1"/>
    <col min="24" max="24" width="33.28515625" bestFit="1" customWidth="1"/>
    <col min="25" max="25" width="20.140625" style="1" bestFit="1" customWidth="1"/>
    <col min="26" max="26" width="22.140625" bestFit="1" customWidth="1"/>
    <col min="27" max="27" width="16.28515625" bestFit="1" customWidth="1"/>
    <col min="28" max="37" width="15.85546875" bestFit="1" customWidth="1"/>
    <col min="38" max="38" width="13.5703125" bestFit="1" customWidth="1"/>
    <col min="39" max="39" width="20.28515625" bestFit="1" customWidth="1"/>
    <col min="40" max="40" width="14.5703125" bestFit="1" customWidth="1"/>
    <col min="41" max="41" width="16.85546875" bestFit="1" customWidth="1"/>
  </cols>
  <sheetData>
    <row r="1" spans="1:42" x14ac:dyDescent="0.25">
      <c r="A1" t="s">
        <v>0</v>
      </c>
      <c r="B1" t="s">
        <v>635</v>
      </c>
      <c r="C1" t="s">
        <v>641</v>
      </c>
      <c r="D1" s="4" t="s">
        <v>676</v>
      </c>
      <c r="E1" s="5" t="s">
        <v>640</v>
      </c>
      <c r="F1" t="s">
        <v>636</v>
      </c>
      <c r="G1" t="s">
        <v>669</v>
      </c>
      <c r="H1" t="s">
        <v>1</v>
      </c>
      <c r="I1" t="s">
        <v>2</v>
      </c>
      <c r="J1" t="s">
        <v>642</v>
      </c>
      <c r="K1" t="s">
        <v>643</v>
      </c>
      <c r="L1" t="s">
        <v>644</v>
      </c>
      <c r="M1" t="s">
        <v>645</v>
      </c>
      <c r="N1" t="s">
        <v>646</v>
      </c>
      <c r="O1" s="3" t="s">
        <v>647</v>
      </c>
      <c r="P1" t="s">
        <v>648</v>
      </c>
      <c r="Q1" s="3" t="s">
        <v>639</v>
      </c>
      <c r="R1" t="s">
        <v>638</v>
      </c>
      <c r="S1" t="s">
        <v>649</v>
      </c>
      <c r="T1" t="s">
        <v>650</v>
      </c>
      <c r="U1" t="s">
        <v>651</v>
      </c>
      <c r="V1" t="s">
        <v>652</v>
      </c>
      <c r="W1" t="s">
        <v>653</v>
      </c>
      <c r="X1" t="s">
        <v>654</v>
      </c>
      <c r="Y1" t="s">
        <v>655</v>
      </c>
      <c r="Z1" t="s">
        <v>656</v>
      </c>
      <c r="AA1" s="1" t="s">
        <v>670</v>
      </c>
      <c r="AB1" t="s">
        <v>637</v>
      </c>
      <c r="AC1" t="s">
        <v>657</v>
      </c>
      <c r="AD1" t="s">
        <v>658</v>
      </c>
      <c r="AE1" t="s">
        <v>659</v>
      </c>
      <c r="AF1" t="s">
        <v>660</v>
      </c>
      <c r="AG1" t="s">
        <v>661</v>
      </c>
      <c r="AH1" t="s">
        <v>662</v>
      </c>
      <c r="AI1" t="s">
        <v>663</v>
      </c>
      <c r="AJ1" t="s">
        <v>664</v>
      </c>
      <c r="AK1" t="s">
        <v>665</v>
      </c>
      <c r="AL1" t="s">
        <v>666</v>
      </c>
      <c r="AM1" t="s">
        <v>667</v>
      </c>
      <c r="AN1" t="s">
        <v>668</v>
      </c>
      <c r="AO1" t="s">
        <v>3</v>
      </c>
      <c r="AP1" t="s">
        <v>4</v>
      </c>
    </row>
    <row r="2" spans="1:42" x14ac:dyDescent="0.25">
      <c r="A2">
        <v>17</v>
      </c>
      <c r="B2" t="s">
        <v>75</v>
      </c>
      <c r="D2" s="4">
        <v>42677</v>
      </c>
      <c r="E2" s="5">
        <f>YEAR(D2)</f>
        <v>2016</v>
      </c>
      <c r="F2">
        <v>19.341745555420999</v>
      </c>
      <c r="G2" t="s">
        <v>76</v>
      </c>
      <c r="H2">
        <v>334131</v>
      </c>
      <c r="I2">
        <v>731821</v>
      </c>
      <c r="J2" t="s">
        <v>13</v>
      </c>
      <c r="K2" t="s">
        <v>14</v>
      </c>
      <c r="L2" t="s">
        <v>77</v>
      </c>
      <c r="M2" t="s">
        <v>9</v>
      </c>
      <c r="N2" t="s">
        <v>78</v>
      </c>
      <c r="O2" s="3">
        <v>43262</v>
      </c>
      <c r="P2" t="s">
        <v>79</v>
      </c>
      <c r="R2" t="s">
        <v>74</v>
      </c>
      <c r="S2" t="s">
        <v>11</v>
      </c>
      <c r="T2" t="s">
        <v>18</v>
      </c>
      <c r="U2">
        <v>341</v>
      </c>
      <c r="V2">
        <v>167</v>
      </c>
      <c r="W2">
        <v>146</v>
      </c>
      <c r="X2">
        <v>58</v>
      </c>
      <c r="Y2">
        <v>0</v>
      </c>
      <c r="Z2">
        <v>201</v>
      </c>
      <c r="AA2" s="1">
        <f>Z2/U2</f>
        <v>0.58944281524926689</v>
      </c>
      <c r="AB2">
        <v>140</v>
      </c>
      <c r="AC2">
        <v>0</v>
      </c>
      <c r="AD2">
        <v>40</v>
      </c>
      <c r="AE2">
        <v>40</v>
      </c>
      <c r="AF2">
        <v>60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140</v>
      </c>
      <c r="AO2">
        <v>193417.45552063</v>
      </c>
      <c r="AP2">
        <v>1787.1551094644101</v>
      </c>
    </row>
    <row r="3" spans="1:42" x14ac:dyDescent="0.25">
      <c r="A3">
        <v>60</v>
      </c>
      <c r="B3">
        <v>201109</v>
      </c>
      <c r="C3" t="s">
        <v>211</v>
      </c>
      <c r="D3" s="4">
        <v>40547</v>
      </c>
      <c r="E3" s="5">
        <f>YEAR(D3)</f>
        <v>2011</v>
      </c>
      <c r="F3">
        <v>23.969417277557199</v>
      </c>
      <c r="G3" t="s">
        <v>212</v>
      </c>
      <c r="H3">
        <v>340509</v>
      </c>
      <c r="I3">
        <v>729995</v>
      </c>
      <c r="J3" t="s">
        <v>13</v>
      </c>
      <c r="K3" t="s">
        <v>49</v>
      </c>
      <c r="L3" t="s">
        <v>46</v>
      </c>
      <c r="M3" t="s">
        <v>213</v>
      </c>
      <c r="N3" t="s">
        <v>214</v>
      </c>
      <c r="O3" s="3">
        <v>44120</v>
      </c>
      <c r="P3" t="s">
        <v>215</v>
      </c>
      <c r="R3" t="s">
        <v>10</v>
      </c>
      <c r="S3" t="s">
        <v>11</v>
      </c>
      <c r="T3" t="s">
        <v>11</v>
      </c>
      <c r="U3">
        <v>276</v>
      </c>
      <c r="V3">
        <v>0</v>
      </c>
      <c r="W3">
        <v>0</v>
      </c>
      <c r="X3">
        <v>276</v>
      </c>
      <c r="Y3">
        <v>0</v>
      </c>
      <c r="Z3">
        <v>0</v>
      </c>
      <c r="AA3" s="1">
        <f>Z3/U3</f>
        <v>0</v>
      </c>
      <c r="AB3">
        <v>276</v>
      </c>
      <c r="AC3">
        <v>0</v>
      </c>
      <c r="AD3">
        <v>0</v>
      </c>
      <c r="AE3">
        <v>0</v>
      </c>
      <c r="AF3">
        <v>0</v>
      </c>
      <c r="AG3">
        <v>0</v>
      </c>
      <c r="AH3">
        <v>60</v>
      </c>
      <c r="AI3">
        <v>70</v>
      </c>
      <c r="AJ3">
        <v>70</v>
      </c>
      <c r="AK3">
        <v>76</v>
      </c>
      <c r="AL3">
        <v>0</v>
      </c>
      <c r="AM3">
        <v>0</v>
      </c>
      <c r="AN3">
        <v>276</v>
      </c>
      <c r="AO3">
        <v>239694.17272949201</v>
      </c>
      <c r="AP3">
        <v>2470.2105602025799</v>
      </c>
    </row>
    <row r="4" spans="1:42" x14ac:dyDescent="0.25">
      <c r="A4">
        <v>53</v>
      </c>
      <c r="B4">
        <v>201829</v>
      </c>
      <c r="C4" t="s">
        <v>187</v>
      </c>
      <c r="D4" s="4">
        <v>43405</v>
      </c>
      <c r="E4" s="5">
        <f>YEAR(D4)</f>
        <v>2018</v>
      </c>
      <c r="F4">
        <v>21.983299778945401</v>
      </c>
      <c r="G4" t="s">
        <v>188</v>
      </c>
      <c r="H4">
        <v>333717</v>
      </c>
      <c r="I4">
        <v>731646</v>
      </c>
      <c r="J4" t="s">
        <v>13</v>
      </c>
      <c r="K4" t="s">
        <v>49</v>
      </c>
      <c r="L4" t="s">
        <v>77</v>
      </c>
      <c r="M4" t="s">
        <v>9</v>
      </c>
      <c r="R4" t="s">
        <v>74</v>
      </c>
      <c r="S4" t="s">
        <v>11</v>
      </c>
      <c r="T4" t="s">
        <v>11</v>
      </c>
      <c r="U4">
        <v>250</v>
      </c>
      <c r="V4">
        <v>0</v>
      </c>
      <c r="W4">
        <v>0</v>
      </c>
      <c r="X4">
        <v>0</v>
      </c>
      <c r="Y4">
        <v>0</v>
      </c>
      <c r="Z4">
        <v>0</v>
      </c>
      <c r="AA4" s="1">
        <f>Z4/U4</f>
        <v>0</v>
      </c>
      <c r="AB4">
        <v>250</v>
      </c>
      <c r="AC4">
        <v>0</v>
      </c>
      <c r="AD4">
        <v>0</v>
      </c>
      <c r="AE4">
        <v>0</v>
      </c>
      <c r="AF4">
        <v>0</v>
      </c>
      <c r="AG4">
        <v>0</v>
      </c>
      <c r="AH4">
        <v>48</v>
      </c>
      <c r="AI4">
        <v>48</v>
      </c>
      <c r="AJ4">
        <v>48</v>
      </c>
      <c r="AK4">
        <v>48</v>
      </c>
      <c r="AL4">
        <v>48</v>
      </c>
      <c r="AM4">
        <v>10</v>
      </c>
      <c r="AN4">
        <v>250</v>
      </c>
      <c r="AO4">
        <v>219832.99775695801</v>
      </c>
      <c r="AP4">
        <v>1876.3774447754699</v>
      </c>
    </row>
    <row r="5" spans="1:42" x14ac:dyDescent="0.25">
      <c r="A5">
        <v>73</v>
      </c>
      <c r="B5">
        <v>201830</v>
      </c>
      <c r="C5" t="s">
        <v>263</v>
      </c>
      <c r="D5" s="4">
        <v>43276</v>
      </c>
      <c r="E5" s="5">
        <f>YEAR(D5)</f>
        <v>2018</v>
      </c>
      <c r="F5">
        <v>15.897296851018501</v>
      </c>
      <c r="G5" t="s">
        <v>264</v>
      </c>
      <c r="H5">
        <v>346394</v>
      </c>
      <c r="I5">
        <v>733242</v>
      </c>
      <c r="J5" t="s">
        <v>13</v>
      </c>
      <c r="K5" t="s">
        <v>14</v>
      </c>
      <c r="L5" t="s">
        <v>265</v>
      </c>
      <c r="M5" t="s">
        <v>9</v>
      </c>
      <c r="N5" t="s">
        <v>266</v>
      </c>
      <c r="O5" s="3">
        <v>44203</v>
      </c>
      <c r="P5" t="s">
        <v>267</v>
      </c>
      <c r="R5" t="s">
        <v>74</v>
      </c>
      <c r="S5" t="s">
        <v>11</v>
      </c>
      <c r="T5" t="s">
        <v>11</v>
      </c>
      <c r="U5">
        <v>250</v>
      </c>
      <c r="V5">
        <v>0</v>
      </c>
      <c r="W5">
        <v>250</v>
      </c>
      <c r="X5">
        <v>0</v>
      </c>
      <c r="Y5">
        <v>39</v>
      </c>
      <c r="Z5">
        <v>224</v>
      </c>
      <c r="AA5" s="1">
        <f>Z5/U5</f>
        <v>0.89600000000000002</v>
      </c>
      <c r="AB5">
        <v>26</v>
      </c>
      <c r="AC5">
        <v>26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26</v>
      </c>
      <c r="AO5">
        <v>158972.968399048</v>
      </c>
      <c r="AP5">
        <v>2189.7818950441401</v>
      </c>
    </row>
    <row r="6" spans="1:42" x14ac:dyDescent="0.25">
      <c r="A6">
        <v>18</v>
      </c>
      <c r="B6">
        <v>200408</v>
      </c>
      <c r="D6" s="4">
        <v>42069</v>
      </c>
      <c r="E6" s="5">
        <f>YEAR(D6)</f>
        <v>2015</v>
      </c>
      <c r="F6">
        <v>24.331203730169999</v>
      </c>
      <c r="G6" t="s">
        <v>80</v>
      </c>
      <c r="H6">
        <v>334038</v>
      </c>
      <c r="I6">
        <v>731320</v>
      </c>
      <c r="J6" t="s">
        <v>13</v>
      </c>
      <c r="K6" t="s">
        <v>14</v>
      </c>
      <c r="L6" t="s">
        <v>77</v>
      </c>
      <c r="M6" t="s">
        <v>9</v>
      </c>
      <c r="N6" t="s">
        <v>81</v>
      </c>
      <c r="O6" s="3">
        <v>42935</v>
      </c>
      <c r="P6" t="s">
        <v>82</v>
      </c>
      <c r="R6" t="s">
        <v>74</v>
      </c>
      <c r="S6" t="s">
        <v>11</v>
      </c>
      <c r="T6" t="s">
        <v>11</v>
      </c>
      <c r="U6">
        <v>230</v>
      </c>
      <c r="V6">
        <v>128</v>
      </c>
      <c r="W6">
        <v>0</v>
      </c>
      <c r="X6">
        <v>0</v>
      </c>
      <c r="Y6">
        <v>26</v>
      </c>
      <c r="Z6">
        <v>133</v>
      </c>
      <c r="AA6" s="1">
        <f>Z6/U6</f>
        <v>0.57826086956521738</v>
      </c>
      <c r="AB6">
        <v>97</v>
      </c>
      <c r="AC6">
        <v>24</v>
      </c>
      <c r="AD6">
        <v>0</v>
      </c>
      <c r="AE6">
        <v>0</v>
      </c>
      <c r="AF6">
        <v>0</v>
      </c>
      <c r="AG6">
        <v>38</v>
      </c>
      <c r="AH6">
        <v>35</v>
      </c>
      <c r="AI6">
        <v>0</v>
      </c>
      <c r="AJ6">
        <v>0</v>
      </c>
      <c r="AK6">
        <v>0</v>
      </c>
      <c r="AL6">
        <v>0</v>
      </c>
      <c r="AM6">
        <v>0</v>
      </c>
      <c r="AN6">
        <v>97</v>
      </c>
      <c r="AO6">
        <v>243312.037353516</v>
      </c>
      <c r="AP6">
        <v>2228.1291458382698</v>
      </c>
    </row>
    <row r="7" spans="1:42" x14ac:dyDescent="0.25">
      <c r="A7">
        <v>137</v>
      </c>
      <c r="B7">
        <v>202204</v>
      </c>
      <c r="D7" s="4">
        <v>44609</v>
      </c>
      <c r="E7" s="5">
        <f>YEAR(D7)</f>
        <v>2022</v>
      </c>
      <c r="F7">
        <v>6.3066798358971203</v>
      </c>
      <c r="G7" t="s">
        <v>498</v>
      </c>
      <c r="H7">
        <v>340952</v>
      </c>
      <c r="I7">
        <v>732266</v>
      </c>
      <c r="J7" t="s">
        <v>13</v>
      </c>
      <c r="K7" t="s">
        <v>14</v>
      </c>
      <c r="L7" t="s">
        <v>499</v>
      </c>
      <c r="M7" t="s">
        <v>9</v>
      </c>
      <c r="N7" t="s">
        <v>500</v>
      </c>
      <c r="O7" s="3">
        <v>44609</v>
      </c>
      <c r="P7" t="s">
        <v>501</v>
      </c>
      <c r="R7" t="s">
        <v>10</v>
      </c>
      <c r="S7" t="s">
        <v>11</v>
      </c>
      <c r="T7" t="s">
        <v>18</v>
      </c>
      <c r="U7">
        <v>223</v>
      </c>
      <c r="V7">
        <v>0</v>
      </c>
      <c r="W7">
        <v>167</v>
      </c>
      <c r="X7">
        <v>56</v>
      </c>
      <c r="Y7">
        <v>28</v>
      </c>
      <c r="Z7">
        <v>28</v>
      </c>
      <c r="AA7" s="1">
        <f>Z7/U7</f>
        <v>0.12556053811659193</v>
      </c>
      <c r="AB7">
        <v>195</v>
      </c>
      <c r="AC7">
        <v>52</v>
      </c>
      <c r="AD7">
        <v>52</v>
      </c>
      <c r="AE7">
        <v>52</v>
      </c>
      <c r="AF7">
        <v>40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195</v>
      </c>
      <c r="AO7">
        <v>63066.798309326201</v>
      </c>
      <c r="AP7">
        <v>1056.2427464556699</v>
      </c>
    </row>
    <row r="8" spans="1:42" x14ac:dyDescent="0.25">
      <c r="A8">
        <v>55</v>
      </c>
      <c r="B8">
        <v>201822</v>
      </c>
      <c r="C8" t="s">
        <v>192</v>
      </c>
      <c r="D8" s="4">
        <v>43104</v>
      </c>
      <c r="E8" s="5">
        <f>YEAR(D8)</f>
        <v>2018</v>
      </c>
      <c r="F8">
        <v>13.4423119082638</v>
      </c>
      <c r="G8" t="s">
        <v>193</v>
      </c>
      <c r="H8">
        <v>334471</v>
      </c>
      <c r="I8">
        <v>732016</v>
      </c>
      <c r="J8" t="s">
        <v>13</v>
      </c>
      <c r="K8" t="s">
        <v>49</v>
      </c>
      <c r="L8" t="s">
        <v>77</v>
      </c>
      <c r="M8" t="s">
        <v>9</v>
      </c>
      <c r="R8" t="s">
        <v>74</v>
      </c>
      <c r="S8" t="s">
        <v>11</v>
      </c>
      <c r="T8" t="s">
        <v>11</v>
      </c>
      <c r="U8">
        <v>215</v>
      </c>
      <c r="V8">
        <v>0</v>
      </c>
      <c r="W8">
        <v>0</v>
      </c>
      <c r="X8">
        <v>0</v>
      </c>
      <c r="Y8">
        <v>0</v>
      </c>
      <c r="Z8">
        <v>0</v>
      </c>
      <c r="AA8" s="1">
        <f>Z8/U8</f>
        <v>0</v>
      </c>
      <c r="AB8">
        <v>215</v>
      </c>
      <c r="AC8">
        <v>0</v>
      </c>
      <c r="AD8">
        <v>0</v>
      </c>
      <c r="AE8">
        <v>24</v>
      </c>
      <c r="AF8">
        <v>36</v>
      </c>
      <c r="AG8">
        <v>36</v>
      </c>
      <c r="AH8">
        <v>36</v>
      </c>
      <c r="AI8">
        <v>36</v>
      </c>
      <c r="AJ8">
        <v>36</v>
      </c>
      <c r="AK8">
        <v>11</v>
      </c>
      <c r="AL8">
        <v>0</v>
      </c>
      <c r="AM8">
        <v>0</v>
      </c>
      <c r="AN8">
        <v>215</v>
      </c>
      <c r="AO8">
        <v>134423.119049072</v>
      </c>
      <c r="AP8">
        <v>1578.2367547801</v>
      </c>
    </row>
    <row r="9" spans="1:42" x14ac:dyDescent="0.25">
      <c r="A9">
        <v>27</v>
      </c>
      <c r="B9">
        <v>201108</v>
      </c>
      <c r="D9" s="4">
        <v>40547</v>
      </c>
      <c r="E9" s="5">
        <f>YEAR(D9)</f>
        <v>2011</v>
      </c>
      <c r="F9">
        <v>3.5870172008802399</v>
      </c>
      <c r="G9" t="s">
        <v>112</v>
      </c>
      <c r="H9">
        <v>339832</v>
      </c>
      <c r="I9">
        <v>731556</v>
      </c>
      <c r="J9" t="s">
        <v>13</v>
      </c>
      <c r="K9" t="s">
        <v>14</v>
      </c>
      <c r="L9" t="s">
        <v>113</v>
      </c>
      <c r="M9" t="s">
        <v>114</v>
      </c>
      <c r="N9" t="s">
        <v>115</v>
      </c>
      <c r="O9" s="3">
        <v>43051</v>
      </c>
      <c r="P9" t="s">
        <v>116</v>
      </c>
      <c r="R9" t="s">
        <v>10</v>
      </c>
      <c r="S9" t="s">
        <v>11</v>
      </c>
      <c r="T9" t="s">
        <v>18</v>
      </c>
      <c r="U9">
        <v>162</v>
      </c>
      <c r="V9">
        <v>1</v>
      </c>
      <c r="W9">
        <v>39</v>
      </c>
      <c r="X9">
        <v>123</v>
      </c>
      <c r="Y9">
        <v>111</v>
      </c>
      <c r="Z9">
        <v>136</v>
      </c>
      <c r="AA9" s="1">
        <f>Z9/U9</f>
        <v>0.83950617283950613</v>
      </c>
      <c r="AB9">
        <v>26</v>
      </c>
      <c r="AC9">
        <v>26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26</v>
      </c>
      <c r="AO9">
        <v>35870.171981811502</v>
      </c>
      <c r="AP9">
        <v>1179.6998998157001</v>
      </c>
    </row>
    <row r="10" spans="1:42" x14ac:dyDescent="0.25">
      <c r="A10">
        <v>57</v>
      </c>
      <c r="B10" t="s">
        <v>199</v>
      </c>
      <c r="C10" t="s">
        <v>200</v>
      </c>
      <c r="D10" s="4">
        <v>44337</v>
      </c>
      <c r="E10" s="5">
        <f>YEAR(D10)</f>
        <v>2021</v>
      </c>
      <c r="F10">
        <v>7.48720299890911</v>
      </c>
      <c r="G10" t="s">
        <v>201</v>
      </c>
      <c r="H10">
        <v>344607</v>
      </c>
      <c r="I10">
        <v>733962</v>
      </c>
      <c r="J10" t="s">
        <v>13</v>
      </c>
      <c r="K10" t="s">
        <v>36</v>
      </c>
      <c r="L10" t="s">
        <v>202</v>
      </c>
      <c r="M10" t="s">
        <v>9</v>
      </c>
      <c r="N10" t="s">
        <v>203</v>
      </c>
      <c r="O10" s="3">
        <v>44337</v>
      </c>
      <c r="P10" t="s">
        <v>204</v>
      </c>
      <c r="R10" t="s">
        <v>74</v>
      </c>
      <c r="S10" t="s">
        <v>11</v>
      </c>
      <c r="T10" t="s">
        <v>11</v>
      </c>
      <c r="U10">
        <v>150</v>
      </c>
      <c r="V10">
        <v>0</v>
      </c>
      <c r="W10">
        <v>150</v>
      </c>
      <c r="X10">
        <v>0</v>
      </c>
      <c r="Y10">
        <v>0</v>
      </c>
      <c r="Z10">
        <v>0</v>
      </c>
      <c r="AA10" s="1">
        <f>Z10/U10</f>
        <v>0</v>
      </c>
      <c r="AB10">
        <v>150</v>
      </c>
      <c r="AC10">
        <v>0</v>
      </c>
      <c r="AD10">
        <v>24</v>
      </c>
      <c r="AE10">
        <v>24</v>
      </c>
      <c r="AF10">
        <v>24</v>
      </c>
      <c r="AG10">
        <v>24</v>
      </c>
      <c r="AH10">
        <v>24</v>
      </c>
      <c r="AI10">
        <v>24</v>
      </c>
      <c r="AJ10">
        <v>6</v>
      </c>
      <c r="AK10">
        <v>0</v>
      </c>
      <c r="AL10">
        <v>0</v>
      </c>
      <c r="AM10">
        <v>0</v>
      </c>
      <c r="AN10">
        <v>150</v>
      </c>
      <c r="AO10">
        <v>74872.029800414995</v>
      </c>
      <c r="AP10">
        <v>1253.57766548575</v>
      </c>
    </row>
    <row r="11" spans="1:42" x14ac:dyDescent="0.25">
      <c r="A11">
        <v>2</v>
      </c>
      <c r="B11">
        <v>200611</v>
      </c>
      <c r="D11" s="4">
        <v>39208</v>
      </c>
      <c r="E11" s="5">
        <f>YEAR(D11)</f>
        <v>2007</v>
      </c>
      <c r="F11">
        <v>1.6776442914955301</v>
      </c>
      <c r="G11" t="s">
        <v>12</v>
      </c>
      <c r="H11">
        <v>339577</v>
      </c>
      <c r="I11">
        <v>729422</v>
      </c>
      <c r="J11" t="s">
        <v>13</v>
      </c>
      <c r="K11" t="s">
        <v>14</v>
      </c>
      <c r="L11" t="s">
        <v>15</v>
      </c>
      <c r="M11" t="s">
        <v>9</v>
      </c>
      <c r="N11" t="s">
        <v>16</v>
      </c>
      <c r="O11" s="3">
        <v>39208</v>
      </c>
      <c r="P11" t="s">
        <v>17</v>
      </c>
      <c r="R11" t="s">
        <v>10</v>
      </c>
      <c r="S11" t="s">
        <v>11</v>
      </c>
      <c r="T11" t="s">
        <v>18</v>
      </c>
      <c r="U11">
        <v>135</v>
      </c>
      <c r="V11">
        <v>67</v>
      </c>
      <c r="W11">
        <v>0</v>
      </c>
      <c r="X11">
        <v>135</v>
      </c>
      <c r="Y11">
        <v>1</v>
      </c>
      <c r="Z11">
        <v>85</v>
      </c>
      <c r="AA11" s="1">
        <f>Z11/U11</f>
        <v>0.62962962962962965</v>
      </c>
      <c r="AB11">
        <v>50</v>
      </c>
      <c r="AC11">
        <v>0</v>
      </c>
      <c r="AD11">
        <v>0</v>
      </c>
      <c r="AE11">
        <v>25</v>
      </c>
      <c r="AF11">
        <v>25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50</v>
      </c>
      <c r="AO11">
        <v>16776.442871093801</v>
      </c>
      <c r="AP11">
        <v>1056.61454639822</v>
      </c>
    </row>
    <row r="12" spans="1:42" x14ac:dyDescent="0.25">
      <c r="A12">
        <v>72</v>
      </c>
      <c r="B12">
        <v>201912</v>
      </c>
      <c r="D12" s="4">
        <v>43712</v>
      </c>
      <c r="E12" s="5">
        <f>YEAR(D12)</f>
        <v>2019</v>
      </c>
      <c r="F12">
        <v>3.94844599899477</v>
      </c>
      <c r="G12" t="s">
        <v>260</v>
      </c>
      <c r="H12">
        <v>341769</v>
      </c>
      <c r="I12">
        <v>731105</v>
      </c>
      <c r="J12" t="s">
        <v>13</v>
      </c>
      <c r="K12" t="s">
        <v>14</v>
      </c>
      <c r="L12" t="s">
        <v>40</v>
      </c>
      <c r="M12" t="s">
        <v>41</v>
      </c>
      <c r="N12" t="s">
        <v>261</v>
      </c>
      <c r="O12" s="3">
        <v>43712</v>
      </c>
      <c r="P12" t="s">
        <v>262</v>
      </c>
      <c r="R12" t="s">
        <v>10</v>
      </c>
      <c r="S12" t="s">
        <v>11</v>
      </c>
      <c r="T12" t="s">
        <v>18</v>
      </c>
      <c r="U12">
        <v>130</v>
      </c>
      <c r="V12">
        <v>0</v>
      </c>
      <c r="W12">
        <v>22</v>
      </c>
      <c r="X12">
        <v>48</v>
      </c>
      <c r="Y12">
        <v>8</v>
      </c>
      <c r="Z12">
        <v>70</v>
      </c>
      <c r="AA12" s="1">
        <f>Z12/U12</f>
        <v>0.53846153846153844</v>
      </c>
      <c r="AB12">
        <v>60</v>
      </c>
      <c r="AC12">
        <v>60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60</v>
      </c>
      <c r="AO12">
        <v>39484.459915161096</v>
      </c>
      <c r="AP12">
        <v>1150.8596495744</v>
      </c>
    </row>
    <row r="13" spans="1:42" x14ac:dyDescent="0.25">
      <c r="A13">
        <v>56</v>
      </c>
      <c r="B13">
        <v>201823</v>
      </c>
      <c r="C13" t="s">
        <v>194</v>
      </c>
      <c r="D13" s="4">
        <v>43104</v>
      </c>
      <c r="E13" s="5">
        <f>YEAR(D13)</f>
        <v>2018</v>
      </c>
      <c r="F13">
        <v>6.2216252515516199</v>
      </c>
      <c r="G13" t="s">
        <v>195</v>
      </c>
      <c r="H13">
        <v>337401</v>
      </c>
      <c r="I13">
        <v>734790</v>
      </c>
      <c r="J13" t="s">
        <v>13</v>
      </c>
      <c r="K13" t="s">
        <v>14</v>
      </c>
      <c r="L13" t="s">
        <v>196</v>
      </c>
      <c r="M13" t="s">
        <v>9</v>
      </c>
      <c r="N13" t="s">
        <v>197</v>
      </c>
      <c r="O13" s="3">
        <v>44443</v>
      </c>
      <c r="P13" t="s">
        <v>198</v>
      </c>
      <c r="R13" t="s">
        <v>74</v>
      </c>
      <c r="S13" t="s">
        <v>11</v>
      </c>
      <c r="T13" t="s">
        <v>11</v>
      </c>
      <c r="U13">
        <v>120</v>
      </c>
      <c r="V13">
        <v>0</v>
      </c>
      <c r="W13">
        <v>120</v>
      </c>
      <c r="X13">
        <v>0</v>
      </c>
      <c r="Y13">
        <v>16</v>
      </c>
      <c r="Z13">
        <v>46</v>
      </c>
      <c r="AA13" s="1">
        <f>Z13/U13</f>
        <v>0.38333333333333336</v>
      </c>
      <c r="AB13">
        <v>74</v>
      </c>
      <c r="AC13">
        <v>36</v>
      </c>
      <c r="AD13">
        <v>36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74</v>
      </c>
      <c r="AO13">
        <v>62216.252517700203</v>
      </c>
      <c r="AP13">
        <v>1236.5762024580099</v>
      </c>
    </row>
    <row r="14" spans="1:42" x14ac:dyDescent="0.25">
      <c r="A14">
        <v>71</v>
      </c>
      <c r="B14">
        <v>201908</v>
      </c>
      <c r="D14" s="4">
        <v>43454</v>
      </c>
      <c r="E14" s="5">
        <f>YEAR(D14)</f>
        <v>2018</v>
      </c>
      <c r="F14">
        <v>0.57494226984948205</v>
      </c>
      <c r="G14" t="s">
        <v>257</v>
      </c>
      <c r="H14">
        <v>340968</v>
      </c>
      <c r="I14">
        <v>730232</v>
      </c>
      <c r="J14" t="s">
        <v>13</v>
      </c>
      <c r="K14" t="s">
        <v>14</v>
      </c>
      <c r="L14" t="s">
        <v>40</v>
      </c>
      <c r="M14" t="s">
        <v>41</v>
      </c>
      <c r="N14" t="s">
        <v>258</v>
      </c>
      <c r="O14" s="3">
        <v>43454</v>
      </c>
      <c r="P14" t="s">
        <v>259</v>
      </c>
      <c r="R14" t="s">
        <v>10</v>
      </c>
      <c r="S14" t="s">
        <v>11</v>
      </c>
      <c r="T14" t="s">
        <v>18</v>
      </c>
      <c r="U14">
        <v>119</v>
      </c>
      <c r="V14">
        <v>0</v>
      </c>
      <c r="W14">
        <v>0</v>
      </c>
      <c r="X14">
        <v>119</v>
      </c>
      <c r="Y14">
        <v>66</v>
      </c>
      <c r="Z14">
        <v>66</v>
      </c>
      <c r="AA14" s="1">
        <f>Z14/U14</f>
        <v>0.55462184873949583</v>
      </c>
      <c r="AB14">
        <v>53</v>
      </c>
      <c r="AC14">
        <v>53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53</v>
      </c>
      <c r="AO14">
        <v>5749.4227294921902</v>
      </c>
      <c r="AP14">
        <v>314.23877315789201</v>
      </c>
    </row>
    <row r="15" spans="1:42" x14ac:dyDescent="0.25">
      <c r="A15">
        <v>37</v>
      </c>
      <c r="B15">
        <v>201825</v>
      </c>
      <c r="C15" t="s">
        <v>148</v>
      </c>
      <c r="D15" s="4">
        <v>43104</v>
      </c>
      <c r="E15" s="5">
        <f>YEAR(D15)</f>
        <v>2018</v>
      </c>
      <c r="F15">
        <v>2.1768483464215702</v>
      </c>
      <c r="G15" t="s">
        <v>149</v>
      </c>
      <c r="H15">
        <v>339467</v>
      </c>
      <c r="I15">
        <v>729510</v>
      </c>
      <c r="J15" t="s">
        <v>13</v>
      </c>
      <c r="K15" t="s">
        <v>49</v>
      </c>
      <c r="L15" t="s">
        <v>150</v>
      </c>
      <c r="M15" t="s">
        <v>151</v>
      </c>
      <c r="R15" t="s">
        <v>10</v>
      </c>
      <c r="S15" t="s">
        <v>11</v>
      </c>
      <c r="T15" t="s">
        <v>11</v>
      </c>
      <c r="U15">
        <v>110</v>
      </c>
      <c r="V15">
        <v>0</v>
      </c>
      <c r="W15">
        <v>0</v>
      </c>
      <c r="X15">
        <v>0</v>
      </c>
      <c r="Y15">
        <v>0</v>
      </c>
      <c r="Z15">
        <v>0</v>
      </c>
      <c r="AA15" s="1">
        <f>Z15/U15</f>
        <v>0</v>
      </c>
      <c r="AB15">
        <v>110</v>
      </c>
      <c r="AC15">
        <v>0</v>
      </c>
      <c r="AD15">
        <v>0</v>
      </c>
      <c r="AE15">
        <v>0</v>
      </c>
      <c r="AF15">
        <v>50</v>
      </c>
      <c r="AG15">
        <v>60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110</v>
      </c>
      <c r="AO15">
        <v>21768.4833984375</v>
      </c>
      <c r="AP15">
        <v>778.54207779822696</v>
      </c>
    </row>
    <row r="16" spans="1:42" x14ac:dyDescent="0.25">
      <c r="A16">
        <v>20</v>
      </c>
      <c r="B16">
        <v>200738</v>
      </c>
      <c r="D16" s="4">
        <v>42538</v>
      </c>
      <c r="E16" s="5">
        <f>YEAR(D16)</f>
        <v>2016</v>
      </c>
      <c r="F16">
        <v>7.82070743126945</v>
      </c>
      <c r="G16" t="s">
        <v>86</v>
      </c>
      <c r="H16">
        <v>334379</v>
      </c>
      <c r="I16">
        <v>732314</v>
      </c>
      <c r="J16" t="s">
        <v>13</v>
      </c>
      <c r="K16" t="s">
        <v>14</v>
      </c>
      <c r="L16" t="s">
        <v>77</v>
      </c>
      <c r="M16" t="s">
        <v>9</v>
      </c>
      <c r="N16" t="s">
        <v>87</v>
      </c>
      <c r="O16" s="3">
        <v>43618</v>
      </c>
      <c r="P16" t="s">
        <v>88</v>
      </c>
      <c r="R16" t="s">
        <v>74</v>
      </c>
      <c r="S16" t="s">
        <v>11</v>
      </c>
      <c r="T16" t="s">
        <v>18</v>
      </c>
      <c r="U16">
        <v>100</v>
      </c>
      <c r="V16">
        <v>0</v>
      </c>
      <c r="W16">
        <v>100</v>
      </c>
      <c r="X16">
        <v>0</v>
      </c>
      <c r="Y16">
        <v>0</v>
      </c>
      <c r="Z16">
        <v>0</v>
      </c>
      <c r="AA16" s="1">
        <f>Z16/U16</f>
        <v>0</v>
      </c>
      <c r="AB16">
        <v>100</v>
      </c>
      <c r="AC16">
        <v>0</v>
      </c>
      <c r="AD16">
        <v>24</v>
      </c>
      <c r="AE16">
        <v>36</v>
      </c>
      <c r="AF16">
        <v>26</v>
      </c>
      <c r="AG16">
        <v>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100</v>
      </c>
      <c r="AO16">
        <v>78207.074325561494</v>
      </c>
      <c r="AP16">
        <v>1437.7905970511799</v>
      </c>
    </row>
    <row r="17" spans="1:42" x14ac:dyDescent="0.25">
      <c r="A17">
        <v>48</v>
      </c>
      <c r="B17">
        <v>201827</v>
      </c>
      <c r="C17" t="s">
        <v>177</v>
      </c>
      <c r="D17" s="4">
        <v>43104</v>
      </c>
      <c r="E17" s="5">
        <f>YEAR(D17)</f>
        <v>2018</v>
      </c>
      <c r="F17">
        <v>8.4240752997438708</v>
      </c>
      <c r="G17" t="s">
        <v>178</v>
      </c>
      <c r="H17">
        <v>344237</v>
      </c>
      <c r="I17">
        <v>733239</v>
      </c>
      <c r="J17" t="s">
        <v>13</v>
      </c>
      <c r="K17" t="s">
        <v>49</v>
      </c>
      <c r="L17" t="s">
        <v>46</v>
      </c>
      <c r="M17" t="s">
        <v>151</v>
      </c>
      <c r="R17" t="s">
        <v>10</v>
      </c>
      <c r="S17" t="s">
        <v>11</v>
      </c>
      <c r="T17" t="s">
        <v>11</v>
      </c>
      <c r="U17">
        <v>100</v>
      </c>
      <c r="V17">
        <v>0</v>
      </c>
      <c r="W17">
        <v>0</v>
      </c>
      <c r="X17">
        <v>0</v>
      </c>
      <c r="Y17">
        <v>0</v>
      </c>
      <c r="Z17">
        <v>0</v>
      </c>
      <c r="AA17" s="1">
        <f>Z17/U17</f>
        <v>0</v>
      </c>
      <c r="AB17">
        <v>100</v>
      </c>
      <c r="AC17">
        <v>0</v>
      </c>
      <c r="AD17">
        <v>0</v>
      </c>
      <c r="AE17">
        <v>0</v>
      </c>
      <c r="AF17">
        <v>0</v>
      </c>
      <c r="AG17">
        <v>30</v>
      </c>
      <c r="AH17">
        <v>30</v>
      </c>
      <c r="AI17">
        <v>40</v>
      </c>
      <c r="AJ17">
        <v>0</v>
      </c>
      <c r="AK17">
        <v>0</v>
      </c>
      <c r="AL17">
        <v>0</v>
      </c>
      <c r="AM17">
        <v>0</v>
      </c>
      <c r="AN17">
        <v>100</v>
      </c>
      <c r="AO17">
        <v>84240.752914428696</v>
      </c>
      <c r="AP17">
        <v>1531.75992501818</v>
      </c>
    </row>
    <row r="18" spans="1:42" x14ac:dyDescent="0.25">
      <c r="A18">
        <v>152</v>
      </c>
      <c r="B18" t="s">
        <v>537</v>
      </c>
      <c r="C18" t="s">
        <v>211</v>
      </c>
      <c r="D18" s="4">
        <v>42909</v>
      </c>
      <c r="E18" s="5">
        <f>YEAR(D18)</f>
        <v>2017</v>
      </c>
      <c r="F18">
        <v>0.72310035056232702</v>
      </c>
      <c r="G18" t="s">
        <v>538</v>
      </c>
      <c r="H18">
        <v>340454</v>
      </c>
      <c r="I18">
        <v>729970</v>
      </c>
      <c r="J18" t="s">
        <v>13</v>
      </c>
      <c r="K18" t="s">
        <v>14</v>
      </c>
      <c r="L18" t="s">
        <v>46</v>
      </c>
      <c r="M18" t="s">
        <v>9</v>
      </c>
      <c r="N18" t="s">
        <v>539</v>
      </c>
      <c r="O18" s="3">
        <v>43329</v>
      </c>
      <c r="P18" t="s">
        <v>540</v>
      </c>
      <c r="R18" t="s">
        <v>10</v>
      </c>
      <c r="S18" t="s">
        <v>11</v>
      </c>
      <c r="T18" t="s">
        <v>18</v>
      </c>
      <c r="U18">
        <v>99</v>
      </c>
      <c r="V18">
        <v>0</v>
      </c>
      <c r="W18">
        <v>0</v>
      </c>
      <c r="X18">
        <v>99</v>
      </c>
      <c r="Y18">
        <v>0</v>
      </c>
      <c r="Z18">
        <v>0</v>
      </c>
      <c r="AA18" s="1">
        <f>Z18/U18</f>
        <v>0</v>
      </c>
      <c r="AB18">
        <v>99</v>
      </c>
      <c r="AC18">
        <v>0</v>
      </c>
      <c r="AD18">
        <v>0</v>
      </c>
      <c r="AE18">
        <v>0</v>
      </c>
      <c r="AF18">
        <v>50</v>
      </c>
      <c r="AG18">
        <v>49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99</v>
      </c>
      <c r="AO18">
        <v>7231.0035247802698</v>
      </c>
      <c r="AP18">
        <v>358.99550842145499</v>
      </c>
    </row>
    <row r="19" spans="1:42" x14ac:dyDescent="0.25">
      <c r="A19">
        <v>77</v>
      </c>
      <c r="B19">
        <v>202012</v>
      </c>
      <c r="D19" s="4">
        <v>43817</v>
      </c>
      <c r="E19" s="5">
        <f>YEAR(D19)</f>
        <v>2019</v>
      </c>
      <c r="F19">
        <v>2.88165224886139</v>
      </c>
      <c r="G19" t="s">
        <v>279</v>
      </c>
      <c r="H19">
        <v>342852</v>
      </c>
      <c r="I19">
        <v>731829</v>
      </c>
      <c r="J19" t="s">
        <v>13</v>
      </c>
      <c r="K19" t="s">
        <v>14</v>
      </c>
      <c r="L19" t="s">
        <v>280</v>
      </c>
      <c r="M19" t="s">
        <v>9</v>
      </c>
      <c r="N19" t="s">
        <v>281</v>
      </c>
      <c r="O19" s="3">
        <v>45116</v>
      </c>
      <c r="P19" t="s">
        <v>282</v>
      </c>
      <c r="R19" t="s">
        <v>10</v>
      </c>
      <c r="S19" t="s">
        <v>11</v>
      </c>
      <c r="T19" t="s">
        <v>18</v>
      </c>
      <c r="U19">
        <v>71</v>
      </c>
      <c r="V19">
        <v>0</v>
      </c>
      <c r="W19">
        <v>71</v>
      </c>
      <c r="X19">
        <v>0</v>
      </c>
      <c r="Y19">
        <v>0</v>
      </c>
      <c r="Z19">
        <v>0</v>
      </c>
      <c r="AA19" s="1">
        <f>Z19/U19</f>
        <v>0</v>
      </c>
      <c r="AB19">
        <v>71</v>
      </c>
      <c r="AC19">
        <v>36</v>
      </c>
      <c r="AD19">
        <v>35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71</v>
      </c>
      <c r="AO19">
        <v>28816.522537231402</v>
      </c>
      <c r="AP19">
        <v>965.37028298789505</v>
      </c>
    </row>
    <row r="20" spans="1:42" x14ac:dyDescent="0.25">
      <c r="A20">
        <v>36</v>
      </c>
      <c r="B20">
        <v>200913</v>
      </c>
      <c r="C20" t="s">
        <v>146</v>
      </c>
      <c r="D20" s="4">
        <v>39817</v>
      </c>
      <c r="E20" s="5">
        <f>YEAR(D20)</f>
        <v>2009</v>
      </c>
      <c r="F20">
        <v>4.0248834852854696</v>
      </c>
      <c r="G20" t="s">
        <v>147</v>
      </c>
      <c r="H20">
        <v>338363</v>
      </c>
      <c r="I20">
        <v>733094</v>
      </c>
      <c r="J20" t="s">
        <v>13</v>
      </c>
      <c r="K20" t="s">
        <v>49</v>
      </c>
      <c r="L20" t="s">
        <v>46</v>
      </c>
      <c r="M20" t="s">
        <v>9</v>
      </c>
      <c r="R20" t="s">
        <v>10</v>
      </c>
      <c r="S20" t="s">
        <v>11</v>
      </c>
      <c r="T20" t="s">
        <v>11</v>
      </c>
      <c r="U20">
        <v>70</v>
      </c>
      <c r="V20">
        <v>0</v>
      </c>
      <c r="W20">
        <v>0</v>
      </c>
      <c r="X20">
        <v>0</v>
      </c>
      <c r="Y20">
        <v>0</v>
      </c>
      <c r="Z20">
        <v>0</v>
      </c>
      <c r="AA20" s="1">
        <f>Z20/U20</f>
        <v>0</v>
      </c>
      <c r="AB20">
        <v>70</v>
      </c>
      <c r="AC20">
        <v>0</v>
      </c>
      <c r="AD20">
        <v>0</v>
      </c>
      <c r="AE20">
        <v>0</v>
      </c>
      <c r="AF20">
        <v>0</v>
      </c>
      <c r="AG20">
        <v>20</v>
      </c>
      <c r="AH20">
        <v>20</v>
      </c>
      <c r="AI20">
        <v>30</v>
      </c>
      <c r="AJ20">
        <v>0</v>
      </c>
      <c r="AK20">
        <v>0</v>
      </c>
      <c r="AL20">
        <v>0</v>
      </c>
      <c r="AM20">
        <v>0</v>
      </c>
      <c r="AN20">
        <v>70</v>
      </c>
      <c r="AO20">
        <v>40248.8349304199</v>
      </c>
      <c r="AP20">
        <v>1092.6144265662199</v>
      </c>
    </row>
    <row r="21" spans="1:42" x14ac:dyDescent="0.25">
      <c r="A21">
        <v>52</v>
      </c>
      <c r="B21">
        <v>201817</v>
      </c>
      <c r="C21" t="s">
        <v>185</v>
      </c>
      <c r="D21" s="4">
        <v>43104</v>
      </c>
      <c r="E21" s="5">
        <f>YEAR(D21)</f>
        <v>2018</v>
      </c>
      <c r="F21">
        <v>4.9260440653602302</v>
      </c>
      <c r="G21" t="s">
        <v>186</v>
      </c>
      <c r="H21">
        <v>339111</v>
      </c>
      <c r="I21">
        <v>733973</v>
      </c>
      <c r="J21" t="s">
        <v>13</v>
      </c>
      <c r="K21" t="s">
        <v>49</v>
      </c>
      <c r="L21" t="s">
        <v>46</v>
      </c>
      <c r="M21" t="s">
        <v>151</v>
      </c>
      <c r="R21" t="s">
        <v>10</v>
      </c>
      <c r="S21" t="s">
        <v>11</v>
      </c>
      <c r="T21" t="s">
        <v>11</v>
      </c>
      <c r="U21">
        <v>70</v>
      </c>
      <c r="V21">
        <v>0</v>
      </c>
      <c r="W21">
        <v>0</v>
      </c>
      <c r="X21">
        <v>0</v>
      </c>
      <c r="Y21">
        <v>0</v>
      </c>
      <c r="Z21">
        <v>0</v>
      </c>
      <c r="AA21" s="1">
        <f>Z21/U21</f>
        <v>0</v>
      </c>
      <c r="AB21">
        <v>70</v>
      </c>
      <c r="AC21">
        <v>0</v>
      </c>
      <c r="AD21">
        <v>0</v>
      </c>
      <c r="AE21">
        <v>0</v>
      </c>
      <c r="AF21">
        <v>35</v>
      </c>
      <c r="AG21">
        <v>35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70</v>
      </c>
      <c r="AO21">
        <v>49260.440597534202</v>
      </c>
      <c r="AP21">
        <v>1202.9873088469801</v>
      </c>
    </row>
    <row r="22" spans="1:42" x14ac:dyDescent="0.25">
      <c r="A22">
        <v>135</v>
      </c>
      <c r="B22">
        <v>202202</v>
      </c>
      <c r="D22" s="4">
        <v>44636</v>
      </c>
      <c r="E22" s="5">
        <f>YEAR(D22)</f>
        <v>2022</v>
      </c>
      <c r="F22">
        <v>2.1000514364327199</v>
      </c>
      <c r="G22" t="s">
        <v>491</v>
      </c>
      <c r="H22">
        <v>343400</v>
      </c>
      <c r="I22">
        <v>732158</v>
      </c>
      <c r="J22" t="s">
        <v>13</v>
      </c>
      <c r="K22" t="s">
        <v>14</v>
      </c>
      <c r="L22" t="s">
        <v>492</v>
      </c>
      <c r="M22" t="s">
        <v>213</v>
      </c>
      <c r="N22" t="s">
        <v>493</v>
      </c>
      <c r="O22" s="3">
        <v>44636</v>
      </c>
      <c r="P22" t="s">
        <v>494</v>
      </c>
      <c r="R22" t="s">
        <v>10</v>
      </c>
      <c r="S22" t="s">
        <v>11</v>
      </c>
      <c r="T22" t="s">
        <v>18</v>
      </c>
      <c r="U22">
        <v>67</v>
      </c>
      <c r="V22">
        <v>0</v>
      </c>
      <c r="W22">
        <v>43</v>
      </c>
      <c r="X22">
        <v>24</v>
      </c>
      <c r="Y22">
        <v>0</v>
      </c>
      <c r="Z22">
        <v>0</v>
      </c>
      <c r="AA22" s="1">
        <f>Z22/U22</f>
        <v>0</v>
      </c>
      <c r="AB22">
        <v>67</v>
      </c>
      <c r="AC22">
        <v>55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67</v>
      </c>
      <c r="AO22">
        <v>21000.5143890381</v>
      </c>
      <c r="AP22">
        <v>572.51898462033296</v>
      </c>
    </row>
    <row r="23" spans="1:42" x14ac:dyDescent="0.25">
      <c r="A23">
        <v>14</v>
      </c>
      <c r="B23">
        <v>201413</v>
      </c>
      <c r="C23" t="s">
        <v>63</v>
      </c>
      <c r="D23" s="4">
        <v>41643</v>
      </c>
      <c r="E23" s="5">
        <f>YEAR(D23)</f>
        <v>2014</v>
      </c>
      <c r="F23">
        <v>3.4020984525096298</v>
      </c>
      <c r="G23" t="s">
        <v>64</v>
      </c>
      <c r="H23">
        <v>336967</v>
      </c>
      <c r="I23">
        <v>734365</v>
      </c>
      <c r="J23" t="s">
        <v>7</v>
      </c>
      <c r="K23" t="s">
        <v>7</v>
      </c>
      <c r="L23" t="s">
        <v>65</v>
      </c>
      <c r="M23" t="s">
        <v>9</v>
      </c>
      <c r="R23" t="s">
        <v>10</v>
      </c>
      <c r="S23" t="s">
        <v>11</v>
      </c>
      <c r="T23" t="s">
        <v>11</v>
      </c>
      <c r="U23">
        <v>60</v>
      </c>
      <c r="V23">
        <v>0</v>
      </c>
      <c r="W23">
        <v>0</v>
      </c>
      <c r="X23">
        <v>0</v>
      </c>
      <c r="Y23">
        <v>0</v>
      </c>
      <c r="Z23">
        <v>0</v>
      </c>
      <c r="AA23" s="1">
        <f>Z23/U23</f>
        <v>0</v>
      </c>
      <c r="AB23">
        <v>60</v>
      </c>
      <c r="AC23">
        <v>0</v>
      </c>
      <c r="AD23">
        <v>0</v>
      </c>
      <c r="AE23">
        <v>0</v>
      </c>
      <c r="AF23">
        <v>20</v>
      </c>
      <c r="AG23">
        <v>20</v>
      </c>
      <c r="AH23">
        <v>20</v>
      </c>
      <c r="AI23">
        <v>0</v>
      </c>
      <c r="AJ23">
        <v>0</v>
      </c>
      <c r="AK23">
        <v>0</v>
      </c>
      <c r="AM23">
        <v>0</v>
      </c>
      <c r="AN23">
        <v>60</v>
      </c>
      <c r="AO23">
        <v>34020.984512329102</v>
      </c>
      <c r="AP23">
        <v>830.69057099299698</v>
      </c>
    </row>
    <row r="24" spans="1:42" x14ac:dyDescent="0.25">
      <c r="A24">
        <v>19</v>
      </c>
      <c r="B24">
        <v>201509</v>
      </c>
      <c r="D24" s="4">
        <v>42008</v>
      </c>
      <c r="E24" s="5">
        <f>YEAR(D24)</f>
        <v>2015</v>
      </c>
      <c r="F24">
        <v>1.5241813993756601</v>
      </c>
      <c r="G24" t="s">
        <v>83</v>
      </c>
      <c r="H24">
        <v>346406</v>
      </c>
      <c r="I24">
        <v>732975</v>
      </c>
      <c r="J24" t="s">
        <v>7</v>
      </c>
      <c r="K24" t="s">
        <v>7</v>
      </c>
      <c r="L24" t="s">
        <v>8</v>
      </c>
      <c r="M24" t="s">
        <v>9</v>
      </c>
      <c r="N24" t="s">
        <v>84</v>
      </c>
      <c r="P24" t="s">
        <v>85</v>
      </c>
      <c r="R24" t="s">
        <v>74</v>
      </c>
      <c r="S24" t="s">
        <v>11</v>
      </c>
      <c r="T24" t="s">
        <v>18</v>
      </c>
      <c r="U24">
        <v>60</v>
      </c>
      <c r="V24">
        <v>0</v>
      </c>
      <c r="W24">
        <v>0</v>
      </c>
      <c r="X24">
        <v>0</v>
      </c>
      <c r="Y24">
        <v>0</v>
      </c>
      <c r="Z24">
        <v>18</v>
      </c>
      <c r="AA24" s="1">
        <f>Z24/U24</f>
        <v>0.3</v>
      </c>
      <c r="AB24">
        <v>42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15241.813903808599</v>
      </c>
      <c r="AP24">
        <v>1019.89560010195</v>
      </c>
    </row>
    <row r="25" spans="1:42" x14ac:dyDescent="0.25">
      <c r="A25">
        <v>75</v>
      </c>
      <c r="B25">
        <v>202002</v>
      </c>
      <c r="D25" s="4">
        <v>43613</v>
      </c>
      <c r="E25" s="5">
        <f>YEAR(D25)</f>
        <v>2019</v>
      </c>
      <c r="F25">
        <v>6.4485811115182701</v>
      </c>
      <c r="G25" t="s">
        <v>271</v>
      </c>
      <c r="H25">
        <v>334641</v>
      </c>
      <c r="I25">
        <v>732800</v>
      </c>
      <c r="J25" t="s">
        <v>13</v>
      </c>
      <c r="K25" t="s">
        <v>23</v>
      </c>
      <c r="L25" t="s">
        <v>272</v>
      </c>
      <c r="M25" t="s">
        <v>9</v>
      </c>
      <c r="N25" t="s">
        <v>273</v>
      </c>
      <c r="O25" s="3">
        <v>43613</v>
      </c>
      <c r="P25" t="s">
        <v>274</v>
      </c>
      <c r="Q25" s="3">
        <v>45083</v>
      </c>
      <c r="R25" t="s">
        <v>10</v>
      </c>
      <c r="S25" t="s">
        <v>11</v>
      </c>
      <c r="T25" t="s">
        <v>18</v>
      </c>
      <c r="U25">
        <v>54</v>
      </c>
      <c r="V25">
        <v>0</v>
      </c>
      <c r="W25">
        <v>54</v>
      </c>
      <c r="X25">
        <v>0</v>
      </c>
      <c r="Y25">
        <v>1</v>
      </c>
      <c r="Z25">
        <v>54</v>
      </c>
      <c r="AA25" s="1">
        <f>Z25/U25</f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1</v>
      </c>
      <c r="AO25">
        <v>64485.811218261697</v>
      </c>
      <c r="AP25">
        <v>1584.9509297847801</v>
      </c>
    </row>
    <row r="26" spans="1:42" x14ac:dyDescent="0.25">
      <c r="A26">
        <v>138</v>
      </c>
      <c r="B26">
        <v>202205</v>
      </c>
      <c r="D26" s="4">
        <v>44637</v>
      </c>
      <c r="E26" s="5">
        <f>YEAR(D26)</f>
        <v>2022</v>
      </c>
      <c r="F26">
        <v>0.57137183050137197</v>
      </c>
      <c r="G26" t="s">
        <v>502</v>
      </c>
      <c r="H26">
        <v>338192</v>
      </c>
      <c r="I26">
        <v>731432</v>
      </c>
      <c r="J26" t="s">
        <v>13</v>
      </c>
      <c r="K26" t="s">
        <v>36</v>
      </c>
      <c r="L26" t="s">
        <v>40</v>
      </c>
      <c r="M26" t="s">
        <v>41</v>
      </c>
      <c r="N26" t="s">
        <v>503</v>
      </c>
      <c r="O26" s="3">
        <v>44637</v>
      </c>
      <c r="P26" t="s">
        <v>504</v>
      </c>
      <c r="R26" t="s">
        <v>10</v>
      </c>
      <c r="S26" t="s">
        <v>11</v>
      </c>
      <c r="T26" t="s">
        <v>18</v>
      </c>
      <c r="U26">
        <v>54</v>
      </c>
      <c r="V26">
        <v>0</v>
      </c>
      <c r="W26">
        <v>0</v>
      </c>
      <c r="X26">
        <v>54</v>
      </c>
      <c r="Y26">
        <v>0</v>
      </c>
      <c r="Z26">
        <v>0</v>
      </c>
      <c r="AA26" s="1">
        <f>Z26/U26</f>
        <v>0</v>
      </c>
      <c r="AB26">
        <v>54</v>
      </c>
      <c r="AC26">
        <v>0</v>
      </c>
      <c r="AD26">
        <v>0</v>
      </c>
      <c r="AE26">
        <v>54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54</v>
      </c>
      <c r="AO26">
        <v>5713.71827697754</v>
      </c>
      <c r="AP26">
        <v>407.43887290049099</v>
      </c>
    </row>
    <row r="27" spans="1:42" x14ac:dyDescent="0.25">
      <c r="A27">
        <v>45</v>
      </c>
      <c r="B27">
        <v>201010</v>
      </c>
      <c r="C27" t="s">
        <v>170</v>
      </c>
      <c r="D27" s="4">
        <v>40182</v>
      </c>
      <c r="E27" s="5">
        <f>YEAR(D27)</f>
        <v>2010</v>
      </c>
      <c r="F27">
        <v>3.7587591557432498</v>
      </c>
      <c r="G27" t="s">
        <v>171</v>
      </c>
      <c r="H27">
        <v>343320</v>
      </c>
      <c r="I27">
        <v>733503</v>
      </c>
      <c r="J27" t="s">
        <v>13</v>
      </c>
      <c r="K27" t="s">
        <v>49</v>
      </c>
      <c r="L27" t="s">
        <v>46</v>
      </c>
      <c r="M27" t="s">
        <v>9</v>
      </c>
      <c r="N27" t="s">
        <v>172</v>
      </c>
      <c r="O27" s="3">
        <v>44911</v>
      </c>
      <c r="R27" t="s">
        <v>10</v>
      </c>
      <c r="S27" t="s">
        <v>11</v>
      </c>
      <c r="T27" t="s">
        <v>11</v>
      </c>
      <c r="U27">
        <v>53</v>
      </c>
      <c r="V27">
        <v>0</v>
      </c>
      <c r="W27">
        <v>0</v>
      </c>
      <c r="X27">
        <v>0</v>
      </c>
      <c r="Y27">
        <v>0</v>
      </c>
      <c r="Z27">
        <v>0</v>
      </c>
      <c r="AA27" s="1">
        <f>Z27/U27</f>
        <v>0</v>
      </c>
      <c r="AB27">
        <v>53</v>
      </c>
      <c r="AC27">
        <v>0</v>
      </c>
      <c r="AD27">
        <v>0</v>
      </c>
      <c r="AE27">
        <v>22</v>
      </c>
      <c r="AF27">
        <v>31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53</v>
      </c>
      <c r="AO27">
        <v>37587.591293334997</v>
      </c>
      <c r="AP27">
        <v>1337.5894210711599</v>
      </c>
    </row>
    <row r="28" spans="1:42" x14ac:dyDescent="0.25">
      <c r="A28">
        <v>1</v>
      </c>
      <c r="B28">
        <v>200321</v>
      </c>
      <c r="C28" t="s">
        <v>5</v>
      </c>
      <c r="D28" s="4">
        <v>37625</v>
      </c>
      <c r="E28" s="5">
        <f>YEAR(D28)</f>
        <v>2003</v>
      </c>
      <c r="F28">
        <v>1.24978000823598</v>
      </c>
      <c r="G28" t="s">
        <v>6</v>
      </c>
      <c r="H28">
        <v>339248</v>
      </c>
      <c r="I28">
        <v>730423</v>
      </c>
      <c r="J28" t="s">
        <v>7</v>
      </c>
      <c r="K28" t="s">
        <v>7</v>
      </c>
      <c r="L28" t="s">
        <v>8</v>
      </c>
      <c r="M28" t="s">
        <v>9</v>
      </c>
      <c r="R28" t="s">
        <v>10</v>
      </c>
      <c r="S28" t="s">
        <v>11</v>
      </c>
      <c r="T28" t="s">
        <v>11</v>
      </c>
      <c r="U28">
        <v>50</v>
      </c>
      <c r="V28">
        <v>0</v>
      </c>
      <c r="W28">
        <v>50</v>
      </c>
      <c r="X28">
        <v>0</v>
      </c>
      <c r="Y28">
        <v>0</v>
      </c>
      <c r="Z28">
        <v>0</v>
      </c>
      <c r="AA28" s="1">
        <f>Z28/U28</f>
        <v>0</v>
      </c>
      <c r="AB28">
        <v>50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12497.800109863299</v>
      </c>
      <c r="AP28">
        <v>507.873255137223</v>
      </c>
    </row>
    <row r="29" spans="1:42" x14ac:dyDescent="0.25">
      <c r="A29">
        <v>82</v>
      </c>
      <c r="B29" t="s">
        <v>299</v>
      </c>
      <c r="C29" t="s">
        <v>211</v>
      </c>
      <c r="D29" s="4">
        <v>44120</v>
      </c>
      <c r="E29" s="5">
        <f>YEAR(D29)</f>
        <v>2020</v>
      </c>
      <c r="F29">
        <v>0.37882461969092501</v>
      </c>
      <c r="G29" t="s">
        <v>300</v>
      </c>
      <c r="H29">
        <v>340688</v>
      </c>
      <c r="I29">
        <v>730304</v>
      </c>
      <c r="J29" t="s">
        <v>13</v>
      </c>
      <c r="K29" t="s">
        <v>14</v>
      </c>
      <c r="L29" t="s">
        <v>301</v>
      </c>
      <c r="M29" t="s">
        <v>9</v>
      </c>
      <c r="N29" t="s">
        <v>302</v>
      </c>
      <c r="O29" s="3">
        <v>44120</v>
      </c>
      <c r="P29" t="s">
        <v>303</v>
      </c>
      <c r="R29" t="s">
        <v>10</v>
      </c>
      <c r="S29" t="s">
        <v>11</v>
      </c>
      <c r="T29" t="s">
        <v>18</v>
      </c>
      <c r="U29">
        <v>49</v>
      </c>
      <c r="V29">
        <v>0</v>
      </c>
      <c r="W29">
        <v>0</v>
      </c>
      <c r="X29">
        <v>49</v>
      </c>
      <c r="Y29">
        <v>0</v>
      </c>
      <c r="Z29">
        <v>0</v>
      </c>
      <c r="AA29" s="1">
        <f>Z29/U29</f>
        <v>0</v>
      </c>
      <c r="AB29">
        <v>49</v>
      </c>
      <c r="AC29">
        <v>0</v>
      </c>
      <c r="AD29">
        <v>0</v>
      </c>
      <c r="AE29">
        <v>0</v>
      </c>
      <c r="AF29">
        <v>20</v>
      </c>
      <c r="AG29">
        <v>29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49</v>
      </c>
      <c r="AO29">
        <v>3788.2461395263699</v>
      </c>
      <c r="AP29">
        <v>263.97424497644897</v>
      </c>
    </row>
    <row r="30" spans="1:42" x14ac:dyDescent="0.25">
      <c r="A30">
        <v>104</v>
      </c>
      <c r="B30">
        <v>202030</v>
      </c>
      <c r="D30" s="4">
        <v>44042</v>
      </c>
      <c r="E30" s="5">
        <f>YEAR(D30)</f>
        <v>2020</v>
      </c>
      <c r="F30">
        <v>0.12902400659252999</v>
      </c>
      <c r="G30" t="s">
        <v>381</v>
      </c>
      <c r="H30">
        <v>340610</v>
      </c>
      <c r="I30">
        <v>730351</v>
      </c>
      <c r="J30" t="s">
        <v>13</v>
      </c>
      <c r="K30" t="s">
        <v>14</v>
      </c>
      <c r="L30" t="s">
        <v>382</v>
      </c>
      <c r="M30" t="s">
        <v>9</v>
      </c>
      <c r="N30" t="s">
        <v>383</v>
      </c>
      <c r="O30" s="3">
        <v>44389</v>
      </c>
      <c r="P30" t="s">
        <v>384</v>
      </c>
      <c r="R30" t="s">
        <v>10</v>
      </c>
      <c r="S30" t="s">
        <v>11</v>
      </c>
      <c r="T30" t="s">
        <v>18</v>
      </c>
      <c r="U30">
        <v>49</v>
      </c>
      <c r="V30">
        <v>0</v>
      </c>
      <c r="W30">
        <v>0</v>
      </c>
      <c r="X30">
        <v>49</v>
      </c>
      <c r="Y30">
        <v>0</v>
      </c>
      <c r="Z30">
        <v>0</v>
      </c>
      <c r="AA30" s="1">
        <f>Z30/U30</f>
        <v>0</v>
      </c>
      <c r="AB30">
        <v>49</v>
      </c>
      <c r="AC30">
        <v>0</v>
      </c>
      <c r="AD30">
        <v>49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49</v>
      </c>
      <c r="AO30">
        <v>1290.2400665283201</v>
      </c>
      <c r="AP30">
        <v>186.30286257311101</v>
      </c>
    </row>
    <row r="31" spans="1:42" x14ac:dyDescent="0.25">
      <c r="A31">
        <v>50</v>
      </c>
      <c r="B31">
        <v>201815</v>
      </c>
      <c r="C31" t="s">
        <v>181</v>
      </c>
      <c r="D31" s="4">
        <v>43104</v>
      </c>
      <c r="E31" s="5">
        <f>YEAR(D31)</f>
        <v>2018</v>
      </c>
      <c r="F31">
        <v>1.97377229879331</v>
      </c>
      <c r="G31" t="s">
        <v>182</v>
      </c>
      <c r="H31">
        <v>336897</v>
      </c>
      <c r="I31">
        <v>731187</v>
      </c>
      <c r="J31" t="s">
        <v>13</v>
      </c>
      <c r="K31" t="s">
        <v>49</v>
      </c>
      <c r="L31" t="s">
        <v>46</v>
      </c>
      <c r="M31" t="s">
        <v>151</v>
      </c>
      <c r="R31" t="s">
        <v>10</v>
      </c>
      <c r="S31" t="s">
        <v>11</v>
      </c>
      <c r="T31" t="s">
        <v>11</v>
      </c>
      <c r="U31">
        <v>45</v>
      </c>
      <c r="V31">
        <v>0</v>
      </c>
      <c r="W31">
        <v>0</v>
      </c>
      <c r="X31">
        <v>0</v>
      </c>
      <c r="Y31">
        <v>0</v>
      </c>
      <c r="Z31">
        <v>0</v>
      </c>
      <c r="AA31" s="1">
        <f>Z31/U31</f>
        <v>0</v>
      </c>
      <c r="AB31">
        <v>45</v>
      </c>
      <c r="AC31">
        <v>0</v>
      </c>
      <c r="AD31">
        <v>15</v>
      </c>
      <c r="AE31">
        <v>30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45</v>
      </c>
      <c r="AO31">
        <v>19737.723007202101</v>
      </c>
      <c r="AP31">
        <v>660.49856018877097</v>
      </c>
    </row>
    <row r="32" spans="1:42" x14ac:dyDescent="0.25">
      <c r="A32">
        <v>80</v>
      </c>
      <c r="B32" t="s">
        <v>290</v>
      </c>
      <c r="C32" t="s">
        <v>291</v>
      </c>
      <c r="D32" s="4">
        <v>43024</v>
      </c>
      <c r="E32" s="5">
        <f>YEAR(D32)</f>
        <v>2017</v>
      </c>
      <c r="F32">
        <v>2.1475714806722399</v>
      </c>
      <c r="G32" t="s">
        <v>292</v>
      </c>
      <c r="H32">
        <v>343648</v>
      </c>
      <c r="I32">
        <v>733206</v>
      </c>
      <c r="J32" t="s">
        <v>13</v>
      </c>
      <c r="K32" t="s">
        <v>23</v>
      </c>
      <c r="L32" t="s">
        <v>239</v>
      </c>
      <c r="M32" t="s">
        <v>9</v>
      </c>
      <c r="N32" t="s">
        <v>293</v>
      </c>
      <c r="O32" s="3">
        <v>43024</v>
      </c>
      <c r="P32" t="s">
        <v>294</v>
      </c>
      <c r="Q32" s="3">
        <v>45198</v>
      </c>
      <c r="R32" t="s">
        <v>10</v>
      </c>
      <c r="S32" t="s">
        <v>11</v>
      </c>
      <c r="T32" t="s">
        <v>11</v>
      </c>
      <c r="U32">
        <v>43</v>
      </c>
      <c r="V32">
        <v>3</v>
      </c>
      <c r="W32">
        <v>40</v>
      </c>
      <c r="X32">
        <v>0</v>
      </c>
      <c r="Y32">
        <v>3</v>
      </c>
      <c r="Z32">
        <v>40</v>
      </c>
      <c r="AA32" s="1">
        <f>Z32/U32</f>
        <v>0.93023255813953487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3</v>
      </c>
      <c r="AO32">
        <v>21475.714965820302</v>
      </c>
      <c r="AP32">
        <v>672.49276973122505</v>
      </c>
    </row>
    <row r="33" spans="1:42" x14ac:dyDescent="0.25">
      <c r="A33">
        <v>91</v>
      </c>
      <c r="B33">
        <v>202053</v>
      </c>
      <c r="D33" s="4">
        <v>44245</v>
      </c>
      <c r="E33" s="5">
        <f>YEAR(D33)</f>
        <v>2021</v>
      </c>
      <c r="F33">
        <v>2.1981516155610499</v>
      </c>
      <c r="G33" t="s">
        <v>334</v>
      </c>
      <c r="H33">
        <v>343109</v>
      </c>
      <c r="I33">
        <v>732956</v>
      </c>
      <c r="J33" t="s">
        <v>13</v>
      </c>
      <c r="K33" t="s">
        <v>36</v>
      </c>
      <c r="L33" t="s">
        <v>46</v>
      </c>
      <c r="M33" t="s">
        <v>335</v>
      </c>
      <c r="N33" t="s">
        <v>336</v>
      </c>
      <c r="O33" s="3">
        <v>44767</v>
      </c>
      <c r="P33" t="s">
        <v>337</v>
      </c>
      <c r="R33" t="s">
        <v>10</v>
      </c>
      <c r="S33" t="s">
        <v>11</v>
      </c>
      <c r="T33" t="s">
        <v>18</v>
      </c>
      <c r="U33">
        <v>42</v>
      </c>
      <c r="V33">
        <v>0</v>
      </c>
      <c r="W33">
        <v>10</v>
      </c>
      <c r="X33">
        <v>32</v>
      </c>
      <c r="Y33">
        <v>0</v>
      </c>
      <c r="Z33">
        <v>0</v>
      </c>
      <c r="AA33" s="1">
        <f>Z33/U33</f>
        <v>0</v>
      </c>
      <c r="AB33">
        <v>42</v>
      </c>
      <c r="AC33">
        <v>0</v>
      </c>
      <c r="AD33">
        <v>22</v>
      </c>
      <c r="AE33">
        <v>20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42</v>
      </c>
      <c r="AO33">
        <v>21981.516143798799</v>
      </c>
      <c r="AP33">
        <v>1830.4645045964201</v>
      </c>
    </row>
    <row r="34" spans="1:42" x14ac:dyDescent="0.25">
      <c r="A34">
        <v>59</v>
      </c>
      <c r="B34">
        <v>201510</v>
      </c>
      <c r="C34" t="s">
        <v>207</v>
      </c>
      <c r="D34" s="4">
        <v>42008</v>
      </c>
      <c r="E34" s="5">
        <f>YEAR(D34)</f>
        <v>2015</v>
      </c>
      <c r="F34">
        <v>6.1423672264843301</v>
      </c>
      <c r="G34" t="s">
        <v>208</v>
      </c>
      <c r="H34">
        <v>337857</v>
      </c>
      <c r="I34">
        <v>731572</v>
      </c>
      <c r="J34" t="s">
        <v>13</v>
      </c>
      <c r="K34" t="s">
        <v>49</v>
      </c>
      <c r="L34" t="s">
        <v>40</v>
      </c>
      <c r="M34" t="s">
        <v>41</v>
      </c>
      <c r="N34" t="s">
        <v>209</v>
      </c>
      <c r="O34" s="3">
        <v>43857</v>
      </c>
      <c r="P34" t="s">
        <v>210</v>
      </c>
      <c r="R34" t="s">
        <v>10</v>
      </c>
      <c r="S34" t="s">
        <v>11</v>
      </c>
      <c r="T34" t="s">
        <v>11</v>
      </c>
      <c r="U34">
        <v>40</v>
      </c>
      <c r="V34">
        <v>0</v>
      </c>
      <c r="W34">
        <v>0</v>
      </c>
      <c r="X34">
        <v>0</v>
      </c>
      <c r="Y34">
        <v>0</v>
      </c>
      <c r="Z34">
        <v>0</v>
      </c>
      <c r="AA34" s="1">
        <f>Z34/U34</f>
        <v>0</v>
      </c>
      <c r="AB34">
        <v>40</v>
      </c>
      <c r="AC34">
        <v>0</v>
      </c>
      <c r="AD34">
        <v>0</v>
      </c>
      <c r="AE34">
        <v>20</v>
      </c>
      <c r="AF34">
        <v>20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40</v>
      </c>
      <c r="AO34">
        <v>61423.672393798799</v>
      </c>
      <c r="AP34">
        <v>1268.0329737743</v>
      </c>
    </row>
    <row r="35" spans="1:42" x14ac:dyDescent="0.25">
      <c r="A35">
        <v>139</v>
      </c>
      <c r="B35">
        <v>202104</v>
      </c>
      <c r="D35" s="4">
        <v>44363</v>
      </c>
      <c r="E35" s="5">
        <f>YEAR(D35)</f>
        <v>2021</v>
      </c>
      <c r="F35">
        <v>1.34206303911651</v>
      </c>
      <c r="G35" t="s">
        <v>505</v>
      </c>
      <c r="H35">
        <v>339990</v>
      </c>
      <c r="I35">
        <v>730905</v>
      </c>
      <c r="J35" t="s">
        <v>13</v>
      </c>
      <c r="K35" t="s">
        <v>14</v>
      </c>
      <c r="L35" t="s">
        <v>481</v>
      </c>
      <c r="M35" t="s">
        <v>151</v>
      </c>
      <c r="N35" t="s">
        <v>506</v>
      </c>
      <c r="O35" s="3">
        <v>44363</v>
      </c>
      <c r="P35" t="s">
        <v>507</v>
      </c>
      <c r="R35" t="s">
        <v>10</v>
      </c>
      <c r="S35" t="s">
        <v>11</v>
      </c>
      <c r="T35" t="s">
        <v>18</v>
      </c>
      <c r="U35">
        <v>40</v>
      </c>
      <c r="V35">
        <v>0</v>
      </c>
      <c r="W35">
        <v>40</v>
      </c>
      <c r="X35">
        <v>0</v>
      </c>
      <c r="Y35">
        <v>8</v>
      </c>
      <c r="Z35">
        <v>8</v>
      </c>
      <c r="AA35" s="1">
        <f>Z35/U35</f>
        <v>0.2</v>
      </c>
      <c r="AB35">
        <v>32</v>
      </c>
      <c r="AC35">
        <v>16</v>
      </c>
      <c r="AD35">
        <v>16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32</v>
      </c>
      <c r="AO35">
        <v>13420.630386352501</v>
      </c>
      <c r="AP35">
        <v>523.66455254739196</v>
      </c>
    </row>
    <row r="36" spans="1:42" x14ac:dyDescent="0.25">
      <c r="A36">
        <v>35</v>
      </c>
      <c r="B36">
        <v>201417</v>
      </c>
      <c r="C36" t="s">
        <v>142</v>
      </c>
      <c r="D36" s="4">
        <v>41643</v>
      </c>
      <c r="E36" s="5">
        <f>YEAR(D36)</f>
        <v>2014</v>
      </c>
      <c r="F36">
        <v>1.78180157144464</v>
      </c>
      <c r="G36" t="s">
        <v>143</v>
      </c>
      <c r="H36">
        <v>337330</v>
      </c>
      <c r="I36">
        <v>731477</v>
      </c>
      <c r="J36" t="s">
        <v>13</v>
      </c>
      <c r="K36" t="s">
        <v>36</v>
      </c>
      <c r="L36" t="s">
        <v>15</v>
      </c>
      <c r="M36" t="s">
        <v>9</v>
      </c>
      <c r="N36" t="s">
        <v>144</v>
      </c>
      <c r="O36" s="3">
        <v>44937</v>
      </c>
      <c r="P36" t="s">
        <v>145</v>
      </c>
      <c r="R36" t="s">
        <v>10</v>
      </c>
      <c r="S36" t="s">
        <v>11</v>
      </c>
      <c r="T36" t="s">
        <v>11</v>
      </c>
      <c r="U36">
        <v>39</v>
      </c>
      <c r="V36">
        <v>0</v>
      </c>
      <c r="W36">
        <v>39</v>
      </c>
      <c r="X36">
        <v>0</v>
      </c>
      <c r="Y36">
        <v>0</v>
      </c>
      <c r="Z36">
        <v>0</v>
      </c>
      <c r="AA36" s="1">
        <f>Z36/U36</f>
        <v>0</v>
      </c>
      <c r="AB36">
        <v>39</v>
      </c>
      <c r="AC36">
        <v>0</v>
      </c>
      <c r="AD36">
        <v>30</v>
      </c>
      <c r="AE36">
        <v>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39</v>
      </c>
      <c r="AO36">
        <v>17818.015777587902</v>
      </c>
      <c r="AP36">
        <v>642.18105996545103</v>
      </c>
    </row>
    <row r="37" spans="1:42" x14ac:dyDescent="0.25">
      <c r="A37">
        <v>33</v>
      </c>
      <c r="B37">
        <v>202009</v>
      </c>
      <c r="D37" s="4">
        <v>43726</v>
      </c>
      <c r="E37" s="5">
        <f>YEAR(D37)</f>
        <v>2019</v>
      </c>
      <c r="F37">
        <v>0.91843981739791503</v>
      </c>
      <c r="G37" t="s">
        <v>135</v>
      </c>
      <c r="H37">
        <v>341351</v>
      </c>
      <c r="I37">
        <v>731255</v>
      </c>
      <c r="J37" t="s">
        <v>13</v>
      </c>
      <c r="K37" t="s">
        <v>36</v>
      </c>
      <c r="L37" t="s">
        <v>136</v>
      </c>
      <c r="M37" t="s">
        <v>41</v>
      </c>
      <c r="N37" t="s">
        <v>137</v>
      </c>
      <c r="O37" s="3">
        <v>44519</v>
      </c>
      <c r="P37" t="s">
        <v>138</v>
      </c>
      <c r="R37" t="s">
        <v>10</v>
      </c>
      <c r="S37" t="s">
        <v>11</v>
      </c>
      <c r="T37" t="s">
        <v>18</v>
      </c>
      <c r="U37">
        <v>37</v>
      </c>
      <c r="V37">
        <v>0</v>
      </c>
      <c r="W37">
        <v>21</v>
      </c>
      <c r="X37">
        <v>16</v>
      </c>
      <c r="Y37">
        <v>0</v>
      </c>
      <c r="Z37">
        <v>0</v>
      </c>
      <c r="AA37" s="1">
        <f>Z37/U37</f>
        <v>0</v>
      </c>
      <c r="AB37">
        <v>37</v>
      </c>
      <c r="AC37">
        <v>0</v>
      </c>
      <c r="AD37">
        <v>37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37</v>
      </c>
      <c r="AO37">
        <v>9184.3981628418005</v>
      </c>
      <c r="AP37">
        <v>410.11422635333997</v>
      </c>
    </row>
    <row r="38" spans="1:42" x14ac:dyDescent="0.25">
      <c r="A38">
        <v>49</v>
      </c>
      <c r="B38">
        <v>201814</v>
      </c>
      <c r="C38" t="s">
        <v>179</v>
      </c>
      <c r="D38" s="4">
        <v>43104</v>
      </c>
      <c r="E38" s="5">
        <f>YEAR(D38)</f>
        <v>2018</v>
      </c>
      <c r="F38">
        <v>1.6696998933609899</v>
      </c>
      <c r="G38" t="s">
        <v>180</v>
      </c>
      <c r="H38">
        <v>335665</v>
      </c>
      <c r="I38">
        <v>731239</v>
      </c>
      <c r="J38" t="s">
        <v>13</v>
      </c>
      <c r="K38" t="s">
        <v>49</v>
      </c>
      <c r="L38" t="s">
        <v>46</v>
      </c>
      <c r="M38" t="s">
        <v>41</v>
      </c>
      <c r="R38" t="s">
        <v>10</v>
      </c>
      <c r="S38" t="s">
        <v>11</v>
      </c>
      <c r="T38" t="s">
        <v>11</v>
      </c>
      <c r="U38">
        <v>35</v>
      </c>
      <c r="V38">
        <v>0</v>
      </c>
      <c r="W38">
        <v>0</v>
      </c>
      <c r="X38">
        <v>0</v>
      </c>
      <c r="Y38">
        <v>0</v>
      </c>
      <c r="Z38">
        <v>0</v>
      </c>
      <c r="AA38" s="1">
        <f>Z38/U38</f>
        <v>0</v>
      </c>
      <c r="AB38">
        <v>35</v>
      </c>
      <c r="AC38">
        <v>0</v>
      </c>
      <c r="AD38">
        <v>0</v>
      </c>
      <c r="AE38">
        <v>35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35</v>
      </c>
      <c r="AO38">
        <v>16696.998901367198</v>
      </c>
      <c r="AP38">
        <v>547.46768589739395</v>
      </c>
    </row>
    <row r="39" spans="1:42" x14ac:dyDescent="0.25">
      <c r="A39">
        <v>62</v>
      </c>
      <c r="B39" t="s">
        <v>218</v>
      </c>
      <c r="C39" t="s">
        <v>219</v>
      </c>
      <c r="D39" s="4">
        <v>44126</v>
      </c>
      <c r="E39" s="5">
        <f>YEAR(D39)</f>
        <v>2020</v>
      </c>
      <c r="F39">
        <v>1.82366832605471</v>
      </c>
      <c r="G39" t="s">
        <v>220</v>
      </c>
      <c r="H39">
        <v>343953</v>
      </c>
      <c r="I39">
        <v>733534</v>
      </c>
      <c r="J39" t="s">
        <v>13</v>
      </c>
      <c r="K39" t="s">
        <v>14</v>
      </c>
      <c r="L39" t="s">
        <v>221</v>
      </c>
      <c r="M39" t="s">
        <v>9</v>
      </c>
      <c r="N39" t="s">
        <v>222</v>
      </c>
      <c r="O39" s="3">
        <v>45201</v>
      </c>
      <c r="P39" t="s">
        <v>223</v>
      </c>
      <c r="R39" t="s">
        <v>10</v>
      </c>
      <c r="S39" t="s">
        <v>11</v>
      </c>
      <c r="T39" t="s">
        <v>11</v>
      </c>
      <c r="U39">
        <v>34</v>
      </c>
      <c r="V39">
        <v>2</v>
      </c>
      <c r="W39">
        <v>32</v>
      </c>
      <c r="X39">
        <v>0</v>
      </c>
      <c r="Y39">
        <v>4</v>
      </c>
      <c r="Z39">
        <v>31</v>
      </c>
      <c r="AA39" s="1">
        <f>Z39/U39</f>
        <v>0.91176470588235292</v>
      </c>
      <c r="AB39">
        <v>3</v>
      </c>
      <c r="AC39">
        <v>3</v>
      </c>
      <c r="AD39">
        <v>-3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</v>
      </c>
      <c r="AO39">
        <v>18236.683242797899</v>
      </c>
      <c r="AP39">
        <v>816.73690541548501</v>
      </c>
    </row>
    <row r="40" spans="1:42" x14ac:dyDescent="0.25">
      <c r="A40">
        <v>153</v>
      </c>
      <c r="B40" t="s">
        <v>541</v>
      </c>
      <c r="C40" t="s">
        <v>291</v>
      </c>
      <c r="D40" s="4">
        <v>44725</v>
      </c>
      <c r="E40" s="5">
        <f>YEAR(D40)</f>
        <v>2022</v>
      </c>
      <c r="F40">
        <v>1.9422236684752101</v>
      </c>
      <c r="G40" t="s">
        <v>542</v>
      </c>
      <c r="H40">
        <v>343614</v>
      </c>
      <c r="I40">
        <v>733089</v>
      </c>
      <c r="J40" t="s">
        <v>13</v>
      </c>
      <c r="K40" t="s">
        <v>14</v>
      </c>
      <c r="L40" t="s">
        <v>239</v>
      </c>
      <c r="M40" t="s">
        <v>9</v>
      </c>
      <c r="N40" t="s">
        <v>543</v>
      </c>
      <c r="O40" s="3">
        <v>44725</v>
      </c>
      <c r="P40" t="s">
        <v>544</v>
      </c>
      <c r="R40" t="s">
        <v>10</v>
      </c>
      <c r="S40" t="s">
        <v>11</v>
      </c>
      <c r="T40" t="s">
        <v>11</v>
      </c>
      <c r="U40">
        <v>34</v>
      </c>
      <c r="V40">
        <v>0</v>
      </c>
      <c r="W40">
        <v>34</v>
      </c>
      <c r="X40">
        <v>0</v>
      </c>
      <c r="Y40">
        <v>0</v>
      </c>
      <c r="Z40">
        <v>0</v>
      </c>
      <c r="AA40" s="1">
        <f>Z40/U40</f>
        <v>0</v>
      </c>
      <c r="AB40">
        <v>34</v>
      </c>
      <c r="AC40">
        <v>0</v>
      </c>
      <c r="AD40">
        <v>15</v>
      </c>
      <c r="AE40">
        <v>19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34</v>
      </c>
      <c r="AO40">
        <v>19422.236724853501</v>
      </c>
      <c r="AP40">
        <v>634.90924869427204</v>
      </c>
    </row>
    <row r="41" spans="1:42" x14ac:dyDescent="0.25">
      <c r="A41">
        <v>6</v>
      </c>
      <c r="B41">
        <v>200911</v>
      </c>
      <c r="C41" t="s">
        <v>31</v>
      </c>
      <c r="D41" s="4">
        <v>43640</v>
      </c>
      <c r="E41" s="5">
        <f>YEAR(D41)</f>
        <v>2019</v>
      </c>
      <c r="F41">
        <v>1.5846475050080799</v>
      </c>
      <c r="G41" t="s">
        <v>32</v>
      </c>
      <c r="H41">
        <v>338134</v>
      </c>
      <c r="I41">
        <v>733812</v>
      </c>
      <c r="J41" t="s">
        <v>13</v>
      </c>
      <c r="K41" t="s">
        <v>14</v>
      </c>
      <c r="L41" t="s">
        <v>15</v>
      </c>
      <c r="M41" t="s">
        <v>9</v>
      </c>
      <c r="N41" t="s">
        <v>33</v>
      </c>
      <c r="O41" s="3">
        <v>44545</v>
      </c>
      <c r="P41" t="s">
        <v>34</v>
      </c>
      <c r="R41" t="s">
        <v>10</v>
      </c>
      <c r="S41" t="s">
        <v>11</v>
      </c>
      <c r="T41" t="s">
        <v>11</v>
      </c>
      <c r="U41">
        <v>33</v>
      </c>
      <c r="V41">
        <v>0</v>
      </c>
      <c r="W41">
        <v>33</v>
      </c>
      <c r="X41">
        <v>0</v>
      </c>
      <c r="Y41">
        <v>12</v>
      </c>
      <c r="Z41">
        <v>32</v>
      </c>
      <c r="AA41" s="1">
        <f>Z41/U41</f>
        <v>0.96969696969696972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15846.475128173801</v>
      </c>
      <c r="AP41">
        <v>514.52742318957996</v>
      </c>
    </row>
    <row r="42" spans="1:42" x14ac:dyDescent="0.25">
      <c r="A42">
        <v>41</v>
      </c>
      <c r="B42">
        <v>201213</v>
      </c>
      <c r="C42" t="s">
        <v>161</v>
      </c>
      <c r="D42" s="4">
        <v>40912</v>
      </c>
      <c r="E42" s="5">
        <f>YEAR(D42)</f>
        <v>2012</v>
      </c>
      <c r="F42">
        <v>0.57888183079968503</v>
      </c>
      <c r="G42" t="s">
        <v>162</v>
      </c>
      <c r="H42">
        <v>341518</v>
      </c>
      <c r="I42">
        <v>733254</v>
      </c>
      <c r="J42" t="s">
        <v>13</v>
      </c>
      <c r="K42" t="s">
        <v>36</v>
      </c>
      <c r="L42" t="s">
        <v>51</v>
      </c>
      <c r="M42" t="s">
        <v>41</v>
      </c>
      <c r="N42" t="s">
        <v>159</v>
      </c>
      <c r="O42" s="3">
        <v>45536</v>
      </c>
      <c r="P42" t="s">
        <v>160</v>
      </c>
      <c r="R42" t="s">
        <v>10</v>
      </c>
      <c r="S42" t="s">
        <v>11</v>
      </c>
      <c r="T42" t="s">
        <v>11</v>
      </c>
      <c r="U42">
        <v>31</v>
      </c>
      <c r="V42">
        <v>0</v>
      </c>
      <c r="W42">
        <v>7</v>
      </c>
      <c r="X42">
        <v>24</v>
      </c>
      <c r="Y42">
        <v>0</v>
      </c>
      <c r="Z42">
        <v>0</v>
      </c>
      <c r="AA42" s="1">
        <f>Z42/U42</f>
        <v>0</v>
      </c>
      <c r="AB42">
        <v>31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31</v>
      </c>
      <c r="AO42">
        <v>5788.81837463379</v>
      </c>
      <c r="AP42">
        <v>353.41601232478098</v>
      </c>
    </row>
    <row r="43" spans="1:42" x14ac:dyDescent="0.25">
      <c r="A43">
        <v>74</v>
      </c>
      <c r="B43">
        <v>202003</v>
      </c>
      <c r="D43" s="4">
        <v>43572</v>
      </c>
      <c r="E43" s="5">
        <f>YEAR(D43)</f>
        <v>2019</v>
      </c>
      <c r="F43">
        <v>6.8308810688229499E-2</v>
      </c>
      <c r="G43" t="s">
        <v>268</v>
      </c>
      <c r="H43">
        <v>340422</v>
      </c>
      <c r="I43">
        <v>730416</v>
      </c>
      <c r="J43" t="s">
        <v>13</v>
      </c>
      <c r="K43" t="s">
        <v>14</v>
      </c>
      <c r="L43" t="s">
        <v>40</v>
      </c>
      <c r="M43" t="s">
        <v>41</v>
      </c>
      <c r="N43" t="s">
        <v>269</v>
      </c>
      <c r="O43" s="3">
        <v>43572</v>
      </c>
      <c r="P43" t="s">
        <v>270</v>
      </c>
      <c r="R43" t="s">
        <v>10</v>
      </c>
      <c r="S43" t="s">
        <v>11</v>
      </c>
      <c r="T43" t="s">
        <v>18</v>
      </c>
      <c r="U43">
        <v>31</v>
      </c>
      <c r="V43">
        <v>0</v>
      </c>
      <c r="W43">
        <v>0</v>
      </c>
      <c r="X43">
        <v>31</v>
      </c>
      <c r="Y43">
        <v>0</v>
      </c>
      <c r="Z43">
        <v>0</v>
      </c>
      <c r="AA43" s="1">
        <f>Z43/U43</f>
        <v>0</v>
      </c>
      <c r="AB43">
        <v>31</v>
      </c>
      <c r="AC43">
        <v>31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31</v>
      </c>
      <c r="AO43">
        <v>683.08811950683605</v>
      </c>
      <c r="AP43">
        <v>106.791139658728</v>
      </c>
    </row>
    <row r="44" spans="1:42" x14ac:dyDescent="0.25">
      <c r="A44">
        <v>38</v>
      </c>
      <c r="B44">
        <v>201813</v>
      </c>
      <c r="C44" t="s">
        <v>152</v>
      </c>
      <c r="D44" s="4">
        <v>43104</v>
      </c>
      <c r="E44" s="5">
        <f>YEAR(D44)</f>
        <v>2018</v>
      </c>
      <c r="F44">
        <v>0.61366990988215697</v>
      </c>
      <c r="G44" t="s">
        <v>153</v>
      </c>
      <c r="H44">
        <v>340172</v>
      </c>
      <c r="I44">
        <v>731036</v>
      </c>
      <c r="J44" t="s">
        <v>13</v>
      </c>
      <c r="K44" t="s">
        <v>49</v>
      </c>
      <c r="L44" t="s">
        <v>46</v>
      </c>
      <c r="M44" t="s">
        <v>151</v>
      </c>
      <c r="R44" t="s">
        <v>10</v>
      </c>
      <c r="S44" t="s">
        <v>11</v>
      </c>
      <c r="T44" t="s">
        <v>11</v>
      </c>
      <c r="U44">
        <v>30</v>
      </c>
      <c r="V44">
        <v>0</v>
      </c>
      <c r="W44">
        <v>0</v>
      </c>
      <c r="X44">
        <v>0</v>
      </c>
      <c r="Y44">
        <v>0</v>
      </c>
      <c r="Z44">
        <v>0</v>
      </c>
      <c r="AA44" s="1">
        <f>Z44/U44</f>
        <v>0</v>
      </c>
      <c r="AB44">
        <v>30</v>
      </c>
      <c r="AC44">
        <v>0</v>
      </c>
      <c r="AD44">
        <v>0</v>
      </c>
      <c r="AE44">
        <v>0</v>
      </c>
      <c r="AF44">
        <v>0</v>
      </c>
      <c r="AG44">
        <v>30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30</v>
      </c>
      <c r="AO44">
        <v>6136.6990966796902</v>
      </c>
      <c r="AP44">
        <v>346.22523698945002</v>
      </c>
    </row>
    <row r="45" spans="1:42" x14ac:dyDescent="0.25">
      <c r="A45">
        <v>42</v>
      </c>
      <c r="B45">
        <v>201110</v>
      </c>
      <c r="C45" t="s">
        <v>163</v>
      </c>
      <c r="D45" s="4">
        <v>40547</v>
      </c>
      <c r="E45" s="5">
        <f>YEAR(D45)</f>
        <v>2011</v>
      </c>
      <c r="F45">
        <v>1.4577199051126699</v>
      </c>
      <c r="G45" t="s">
        <v>164</v>
      </c>
      <c r="H45">
        <v>341769</v>
      </c>
      <c r="I45">
        <v>732646</v>
      </c>
      <c r="J45" t="s">
        <v>13</v>
      </c>
      <c r="K45" t="s">
        <v>49</v>
      </c>
      <c r="L45" t="s">
        <v>46</v>
      </c>
      <c r="M45" t="s">
        <v>41</v>
      </c>
      <c r="R45" t="s">
        <v>10</v>
      </c>
      <c r="S45" t="s">
        <v>11</v>
      </c>
      <c r="T45" t="s">
        <v>11</v>
      </c>
      <c r="U45">
        <v>30</v>
      </c>
      <c r="V45">
        <v>0</v>
      </c>
      <c r="W45">
        <v>0</v>
      </c>
      <c r="X45">
        <v>0</v>
      </c>
      <c r="Y45">
        <v>0</v>
      </c>
      <c r="Z45">
        <v>0</v>
      </c>
      <c r="AA45" s="1">
        <f>Z45/U45</f>
        <v>0</v>
      </c>
      <c r="AB45">
        <v>30</v>
      </c>
      <c r="AC45">
        <v>0</v>
      </c>
      <c r="AD45">
        <v>15</v>
      </c>
      <c r="AE45">
        <v>15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30</v>
      </c>
      <c r="AO45">
        <v>14577.1990814209</v>
      </c>
      <c r="AP45">
        <v>586.12013633473896</v>
      </c>
    </row>
    <row r="46" spans="1:42" x14ac:dyDescent="0.25">
      <c r="A46">
        <v>43</v>
      </c>
      <c r="B46">
        <v>201012</v>
      </c>
      <c r="C46" t="s">
        <v>165</v>
      </c>
      <c r="D46" s="4">
        <v>40182</v>
      </c>
      <c r="E46" s="5">
        <f>YEAR(D46)</f>
        <v>2010</v>
      </c>
      <c r="F46">
        <v>1.8273733659468201</v>
      </c>
      <c r="G46" t="s">
        <v>166</v>
      </c>
      <c r="H46">
        <v>343056</v>
      </c>
      <c r="I46">
        <v>733375</v>
      </c>
      <c r="J46" t="s">
        <v>13</v>
      </c>
      <c r="K46" t="s">
        <v>49</v>
      </c>
      <c r="L46" t="s">
        <v>46</v>
      </c>
      <c r="M46" t="s">
        <v>167</v>
      </c>
      <c r="R46" t="s">
        <v>10</v>
      </c>
      <c r="S46" t="s">
        <v>11</v>
      </c>
      <c r="T46" t="s">
        <v>11</v>
      </c>
      <c r="U46">
        <v>30</v>
      </c>
      <c r="V46">
        <v>0</v>
      </c>
      <c r="W46">
        <v>0</v>
      </c>
      <c r="X46">
        <v>0</v>
      </c>
      <c r="Y46">
        <v>0</v>
      </c>
      <c r="Z46">
        <v>0</v>
      </c>
      <c r="AA46" s="1">
        <f>Z46/U46</f>
        <v>0</v>
      </c>
      <c r="AB46">
        <v>30</v>
      </c>
      <c r="AC46">
        <v>0</v>
      </c>
      <c r="AD46">
        <v>0</v>
      </c>
      <c r="AE46">
        <v>0</v>
      </c>
      <c r="AF46">
        <v>30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30</v>
      </c>
      <c r="AO46">
        <v>18273.733779907201</v>
      </c>
      <c r="AP46">
        <v>583.29609700590504</v>
      </c>
    </row>
    <row r="47" spans="1:42" x14ac:dyDescent="0.25">
      <c r="A47">
        <v>47</v>
      </c>
      <c r="B47">
        <v>201008</v>
      </c>
      <c r="C47" t="s">
        <v>175</v>
      </c>
      <c r="D47" s="4">
        <v>40182</v>
      </c>
      <c r="E47" s="5">
        <f>YEAR(D47)</f>
        <v>2010</v>
      </c>
      <c r="F47">
        <v>1.33690337082216</v>
      </c>
      <c r="G47" t="s">
        <v>176</v>
      </c>
      <c r="H47">
        <v>343913</v>
      </c>
      <c r="I47">
        <v>733373</v>
      </c>
      <c r="J47" t="s">
        <v>13</v>
      </c>
      <c r="K47" t="s">
        <v>49</v>
      </c>
      <c r="L47" t="s">
        <v>46</v>
      </c>
      <c r="M47" t="s">
        <v>9</v>
      </c>
      <c r="R47" t="s">
        <v>10</v>
      </c>
      <c r="S47" t="s">
        <v>11</v>
      </c>
      <c r="T47" t="s">
        <v>11</v>
      </c>
      <c r="U47">
        <v>30</v>
      </c>
      <c r="V47">
        <v>0</v>
      </c>
      <c r="W47">
        <v>0</v>
      </c>
      <c r="X47">
        <v>0</v>
      </c>
      <c r="Y47">
        <v>0</v>
      </c>
      <c r="Z47">
        <v>0</v>
      </c>
      <c r="AA47" s="1">
        <f>Z47/U47</f>
        <v>0</v>
      </c>
      <c r="AB47">
        <v>30</v>
      </c>
      <c r="AC47">
        <v>0</v>
      </c>
      <c r="AD47">
        <v>0</v>
      </c>
      <c r="AE47">
        <v>15</v>
      </c>
      <c r="AF47">
        <v>15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30</v>
      </c>
      <c r="AO47">
        <v>13369.033599853499</v>
      </c>
      <c r="AP47">
        <v>450.82697520663203</v>
      </c>
    </row>
    <row r="48" spans="1:42" x14ac:dyDescent="0.25">
      <c r="A48">
        <v>54</v>
      </c>
      <c r="B48">
        <v>201821</v>
      </c>
      <c r="C48" t="s">
        <v>189</v>
      </c>
      <c r="D48" s="4">
        <v>43104</v>
      </c>
      <c r="E48" s="5">
        <f>YEAR(D48)</f>
        <v>2018</v>
      </c>
      <c r="F48">
        <v>3.2797437301657801</v>
      </c>
      <c r="G48" t="s">
        <v>190</v>
      </c>
      <c r="H48">
        <v>334219</v>
      </c>
      <c r="I48">
        <v>732498</v>
      </c>
      <c r="J48" t="s">
        <v>13</v>
      </c>
      <c r="K48" t="s">
        <v>49</v>
      </c>
      <c r="L48" t="s">
        <v>191</v>
      </c>
      <c r="M48" t="s">
        <v>9</v>
      </c>
      <c r="R48" t="s">
        <v>74</v>
      </c>
      <c r="S48" t="s">
        <v>11</v>
      </c>
      <c r="T48" t="s">
        <v>11</v>
      </c>
      <c r="U48">
        <v>30</v>
      </c>
      <c r="V48">
        <v>0</v>
      </c>
      <c r="W48">
        <v>0</v>
      </c>
      <c r="X48">
        <v>0</v>
      </c>
      <c r="Y48">
        <v>0</v>
      </c>
      <c r="Z48">
        <v>0</v>
      </c>
      <c r="AA48" s="1">
        <f>Z48/U48</f>
        <v>0</v>
      </c>
      <c r="AB48">
        <v>30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30</v>
      </c>
      <c r="AO48">
        <v>32797.437362670898</v>
      </c>
      <c r="AP48">
        <v>770.79905196951495</v>
      </c>
    </row>
    <row r="49" spans="1:42" x14ac:dyDescent="0.25">
      <c r="A49">
        <v>65</v>
      </c>
      <c r="B49">
        <v>201902</v>
      </c>
      <c r="D49" s="4">
        <v>43297</v>
      </c>
      <c r="E49" s="5">
        <f>YEAR(D49)</f>
        <v>2018</v>
      </c>
      <c r="F49">
        <v>0.852189850093373</v>
      </c>
      <c r="G49" t="s">
        <v>234</v>
      </c>
      <c r="H49">
        <v>339507</v>
      </c>
      <c r="I49">
        <v>731945</v>
      </c>
      <c r="J49" t="s">
        <v>13</v>
      </c>
      <c r="K49" t="s">
        <v>14</v>
      </c>
      <c r="L49" t="s">
        <v>136</v>
      </c>
      <c r="M49" t="s">
        <v>41</v>
      </c>
      <c r="N49" t="s">
        <v>235</v>
      </c>
      <c r="O49" s="3">
        <v>43297</v>
      </c>
      <c r="P49" t="s">
        <v>236</v>
      </c>
      <c r="R49" t="s">
        <v>10</v>
      </c>
      <c r="S49" t="s">
        <v>11</v>
      </c>
      <c r="T49" t="s">
        <v>18</v>
      </c>
      <c r="U49">
        <v>30</v>
      </c>
      <c r="V49">
        <v>0</v>
      </c>
      <c r="W49">
        <v>18</v>
      </c>
      <c r="X49">
        <v>12</v>
      </c>
      <c r="Y49">
        <v>20</v>
      </c>
      <c r="Z49">
        <v>20</v>
      </c>
      <c r="AA49" s="1">
        <f>Z49/U49</f>
        <v>0.66666666666666663</v>
      </c>
      <c r="AB49">
        <v>10</v>
      </c>
      <c r="AC49">
        <v>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10</v>
      </c>
      <c r="AO49">
        <v>8521.8985137939508</v>
      </c>
      <c r="AP49">
        <v>428.10498377444702</v>
      </c>
    </row>
    <row r="50" spans="1:42" x14ac:dyDescent="0.25">
      <c r="A50">
        <v>178</v>
      </c>
      <c r="B50" t="s">
        <v>607</v>
      </c>
      <c r="C50" t="s">
        <v>602</v>
      </c>
      <c r="D50" s="4">
        <v>45182</v>
      </c>
      <c r="E50" s="5">
        <f>YEAR(D50)</f>
        <v>2023</v>
      </c>
      <c r="F50">
        <v>1.15468386803526</v>
      </c>
      <c r="G50" t="s">
        <v>608</v>
      </c>
      <c r="H50">
        <v>343234</v>
      </c>
      <c r="I50">
        <v>733380</v>
      </c>
      <c r="J50" t="s">
        <v>13</v>
      </c>
      <c r="K50" t="s">
        <v>36</v>
      </c>
      <c r="L50" t="s">
        <v>609</v>
      </c>
      <c r="M50" t="s">
        <v>9</v>
      </c>
      <c r="N50" t="s">
        <v>610</v>
      </c>
      <c r="O50" s="3">
        <v>45182</v>
      </c>
      <c r="R50" t="s">
        <v>10</v>
      </c>
      <c r="S50" t="s">
        <v>11</v>
      </c>
      <c r="T50" t="s">
        <v>11</v>
      </c>
      <c r="U50">
        <v>30</v>
      </c>
      <c r="V50">
        <v>0</v>
      </c>
      <c r="W50">
        <v>30</v>
      </c>
      <c r="X50">
        <v>0</v>
      </c>
      <c r="Y50">
        <v>0</v>
      </c>
      <c r="Z50">
        <v>0</v>
      </c>
      <c r="AA50" s="1">
        <f>Z50/U50</f>
        <v>0</v>
      </c>
      <c r="AB50">
        <v>30</v>
      </c>
      <c r="AC50">
        <v>0</v>
      </c>
      <c r="AD50">
        <v>0</v>
      </c>
      <c r="AE50">
        <v>0</v>
      </c>
      <c r="AF50">
        <v>15</v>
      </c>
      <c r="AG50">
        <v>15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30</v>
      </c>
      <c r="AO50">
        <v>11546.8387451172</v>
      </c>
      <c r="AP50">
        <v>533.45340692534</v>
      </c>
    </row>
    <row r="51" spans="1:42" x14ac:dyDescent="0.25">
      <c r="A51">
        <v>11</v>
      </c>
      <c r="B51">
        <v>201303</v>
      </c>
      <c r="D51" s="4">
        <v>41278</v>
      </c>
      <c r="E51" s="5">
        <f>YEAR(D51)</f>
        <v>2013</v>
      </c>
      <c r="F51">
        <v>1.22031784986453</v>
      </c>
      <c r="G51" t="s">
        <v>50</v>
      </c>
      <c r="H51">
        <v>342685</v>
      </c>
      <c r="I51">
        <v>732806</v>
      </c>
      <c r="J51" t="s">
        <v>13</v>
      </c>
      <c r="K51" t="s">
        <v>23</v>
      </c>
      <c r="L51" t="s">
        <v>51</v>
      </c>
      <c r="M51" t="s">
        <v>41</v>
      </c>
      <c r="N51" t="s">
        <v>52</v>
      </c>
      <c r="O51" s="3">
        <v>44445</v>
      </c>
      <c r="P51" t="s">
        <v>53</v>
      </c>
      <c r="Q51" s="3">
        <v>45377</v>
      </c>
      <c r="R51" t="s">
        <v>10</v>
      </c>
      <c r="S51" t="s">
        <v>11</v>
      </c>
      <c r="T51" t="s">
        <v>18</v>
      </c>
      <c r="U51">
        <v>29</v>
      </c>
      <c r="V51">
        <v>0</v>
      </c>
      <c r="W51">
        <v>19</v>
      </c>
      <c r="X51">
        <v>10</v>
      </c>
      <c r="Y51">
        <v>29</v>
      </c>
      <c r="Z51">
        <v>29</v>
      </c>
      <c r="AA51" s="1">
        <f>Z51/U51</f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29</v>
      </c>
      <c r="AO51">
        <v>12203.1784820557</v>
      </c>
      <c r="AP51">
        <v>528.53018370755603</v>
      </c>
    </row>
    <row r="52" spans="1:42" x14ac:dyDescent="0.25">
      <c r="A52">
        <v>8</v>
      </c>
      <c r="B52">
        <v>201106</v>
      </c>
      <c r="D52" s="4">
        <v>40547</v>
      </c>
      <c r="E52" s="5">
        <f>YEAR(D52)</f>
        <v>2011</v>
      </c>
      <c r="F52">
        <v>3.5264120001812997E-2</v>
      </c>
      <c r="G52" t="s">
        <v>39</v>
      </c>
      <c r="H52">
        <v>340548</v>
      </c>
      <c r="I52">
        <v>730518</v>
      </c>
      <c r="J52" t="s">
        <v>13</v>
      </c>
      <c r="K52" t="s">
        <v>14</v>
      </c>
      <c r="L52" t="s">
        <v>40</v>
      </c>
      <c r="M52" t="s">
        <v>41</v>
      </c>
      <c r="N52" t="s">
        <v>42</v>
      </c>
      <c r="O52" s="3">
        <v>42968</v>
      </c>
      <c r="P52" t="s">
        <v>43</v>
      </c>
      <c r="R52" t="s">
        <v>10</v>
      </c>
      <c r="S52" t="s">
        <v>11</v>
      </c>
      <c r="T52" t="s">
        <v>18</v>
      </c>
      <c r="U52">
        <v>28</v>
      </c>
      <c r="V52">
        <v>0</v>
      </c>
      <c r="W52">
        <v>0</v>
      </c>
      <c r="X52">
        <v>28</v>
      </c>
      <c r="Y52">
        <v>0</v>
      </c>
      <c r="Z52">
        <v>0</v>
      </c>
      <c r="AA52" s="1">
        <f>Z52/U52</f>
        <v>0</v>
      </c>
      <c r="AB52">
        <v>28</v>
      </c>
      <c r="AC52">
        <v>28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28</v>
      </c>
      <c r="AO52">
        <v>352.64118957519503</v>
      </c>
      <c r="AP52">
        <v>77.827745182300006</v>
      </c>
    </row>
    <row r="53" spans="1:42" x14ac:dyDescent="0.25">
      <c r="A53">
        <v>66</v>
      </c>
      <c r="B53">
        <v>201414</v>
      </c>
      <c r="C53" t="s">
        <v>237</v>
      </c>
      <c r="D53" s="4">
        <v>41643</v>
      </c>
      <c r="E53" s="5">
        <f>YEAR(D53)</f>
        <v>2014</v>
      </c>
      <c r="F53">
        <v>0.82732551350578099</v>
      </c>
      <c r="G53" t="s">
        <v>238</v>
      </c>
      <c r="H53">
        <v>338598</v>
      </c>
      <c r="I53">
        <v>733531</v>
      </c>
      <c r="J53" t="s">
        <v>13</v>
      </c>
      <c r="K53" t="s">
        <v>14</v>
      </c>
      <c r="L53" t="s">
        <v>239</v>
      </c>
      <c r="M53" t="s">
        <v>9</v>
      </c>
      <c r="N53" t="s">
        <v>240</v>
      </c>
      <c r="O53" s="3">
        <v>43357</v>
      </c>
      <c r="P53" t="s">
        <v>241</v>
      </c>
      <c r="R53" t="s">
        <v>10</v>
      </c>
      <c r="S53" t="s">
        <v>11</v>
      </c>
      <c r="T53" t="s">
        <v>11</v>
      </c>
      <c r="U53">
        <v>27</v>
      </c>
      <c r="V53">
        <v>0</v>
      </c>
      <c r="W53">
        <v>27</v>
      </c>
      <c r="X53">
        <v>0</v>
      </c>
      <c r="Y53">
        <v>2</v>
      </c>
      <c r="Z53">
        <v>26</v>
      </c>
      <c r="AA53" s="1">
        <f>Z53/U53</f>
        <v>0.96296296296296291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8273.2551727294904</v>
      </c>
      <c r="AP53">
        <v>395.875551020827</v>
      </c>
    </row>
    <row r="54" spans="1:42" x14ac:dyDescent="0.25">
      <c r="A54">
        <v>3</v>
      </c>
      <c r="B54">
        <v>200347</v>
      </c>
      <c r="D54" s="4">
        <v>41625</v>
      </c>
      <c r="E54" s="5">
        <f>YEAR(D54)</f>
        <v>2013</v>
      </c>
      <c r="F54">
        <v>1.0067308550410801</v>
      </c>
      <c r="G54" t="s">
        <v>19</v>
      </c>
      <c r="H54">
        <v>347412</v>
      </c>
      <c r="I54">
        <v>731148</v>
      </c>
      <c r="J54" t="s">
        <v>13</v>
      </c>
      <c r="K54" t="s">
        <v>14</v>
      </c>
      <c r="L54" t="s">
        <v>15</v>
      </c>
      <c r="M54" t="s">
        <v>9</v>
      </c>
      <c r="N54" t="s">
        <v>20</v>
      </c>
      <c r="O54" s="3">
        <v>44666</v>
      </c>
      <c r="P54" t="s">
        <v>21</v>
      </c>
      <c r="R54" t="s">
        <v>10</v>
      </c>
      <c r="S54" t="s">
        <v>11</v>
      </c>
      <c r="T54" t="s">
        <v>11</v>
      </c>
      <c r="U54">
        <v>26</v>
      </c>
      <c r="V54">
        <v>0</v>
      </c>
      <c r="W54">
        <v>3</v>
      </c>
      <c r="X54">
        <v>23</v>
      </c>
      <c r="Y54">
        <v>0</v>
      </c>
      <c r="Z54">
        <v>0</v>
      </c>
      <c r="AA54" s="1">
        <f>Z54/U54</f>
        <v>0</v>
      </c>
      <c r="AB54">
        <v>26</v>
      </c>
      <c r="AC54">
        <v>26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26</v>
      </c>
      <c r="AO54">
        <v>10067.3085021973</v>
      </c>
      <c r="AP54">
        <v>413.96863087704202</v>
      </c>
    </row>
    <row r="55" spans="1:42" x14ac:dyDescent="0.25">
      <c r="A55">
        <v>58</v>
      </c>
      <c r="B55">
        <v>201424</v>
      </c>
      <c r="C55" t="s">
        <v>205</v>
      </c>
      <c r="D55" s="4">
        <v>41643</v>
      </c>
      <c r="E55" s="5">
        <f>YEAR(D55)</f>
        <v>2014</v>
      </c>
      <c r="F55">
        <v>1.5712732134594001</v>
      </c>
      <c r="G55" t="s">
        <v>206</v>
      </c>
      <c r="H55">
        <v>347040</v>
      </c>
      <c r="I55">
        <v>732767</v>
      </c>
      <c r="J55" t="s">
        <v>7</v>
      </c>
      <c r="K55" t="s">
        <v>7</v>
      </c>
      <c r="L55" t="s">
        <v>8</v>
      </c>
      <c r="M55" t="s">
        <v>9</v>
      </c>
      <c r="R55" t="s">
        <v>74</v>
      </c>
      <c r="S55" t="s">
        <v>11</v>
      </c>
      <c r="T55" t="s">
        <v>11</v>
      </c>
      <c r="U55">
        <v>26</v>
      </c>
      <c r="V55">
        <v>0</v>
      </c>
      <c r="W55">
        <v>0</v>
      </c>
      <c r="X55">
        <v>0</v>
      </c>
      <c r="Y55">
        <v>0</v>
      </c>
      <c r="Z55">
        <v>0</v>
      </c>
      <c r="AA55" s="1">
        <f>Z55/U55</f>
        <v>0</v>
      </c>
      <c r="AB55">
        <v>26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15712.732147216801</v>
      </c>
      <c r="AP55">
        <v>587.75176774728197</v>
      </c>
    </row>
    <row r="56" spans="1:42" x14ac:dyDescent="0.25">
      <c r="A56">
        <v>83</v>
      </c>
      <c r="B56">
        <v>202041</v>
      </c>
      <c r="D56" s="4">
        <v>44179</v>
      </c>
      <c r="E56" s="5">
        <f>YEAR(D56)</f>
        <v>2020</v>
      </c>
      <c r="F56">
        <v>8.3428379666783195E-2</v>
      </c>
      <c r="G56" t="s">
        <v>304</v>
      </c>
      <c r="H56">
        <v>340826</v>
      </c>
      <c r="I56">
        <v>730806</v>
      </c>
      <c r="J56" t="s">
        <v>13</v>
      </c>
      <c r="K56" t="s">
        <v>98</v>
      </c>
      <c r="L56" t="s">
        <v>305</v>
      </c>
      <c r="M56" t="s">
        <v>9</v>
      </c>
      <c r="N56" t="s">
        <v>306</v>
      </c>
      <c r="O56" s="3">
        <v>44179</v>
      </c>
      <c r="Q56" s="3">
        <v>45274</v>
      </c>
      <c r="R56" t="s">
        <v>10</v>
      </c>
      <c r="S56" t="s">
        <v>11</v>
      </c>
      <c r="T56" t="s">
        <v>18</v>
      </c>
      <c r="U56">
        <v>24</v>
      </c>
      <c r="V56">
        <v>0</v>
      </c>
      <c r="W56">
        <v>0</v>
      </c>
      <c r="X56">
        <v>24</v>
      </c>
      <c r="Y56">
        <v>0</v>
      </c>
      <c r="Z56">
        <v>0</v>
      </c>
      <c r="AA56" s="1">
        <f>Z56/U56</f>
        <v>0</v>
      </c>
      <c r="AB56">
        <v>24</v>
      </c>
      <c r="AC56">
        <v>0</v>
      </c>
      <c r="AD56">
        <v>24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24</v>
      </c>
      <c r="AO56">
        <v>834.28379821777298</v>
      </c>
      <c r="AP56">
        <v>125.765746171789</v>
      </c>
    </row>
    <row r="57" spans="1:42" x14ac:dyDescent="0.25">
      <c r="A57">
        <v>134</v>
      </c>
      <c r="B57">
        <v>202201</v>
      </c>
      <c r="D57" s="4">
        <v>44806</v>
      </c>
      <c r="E57" s="5">
        <f>YEAR(D57)</f>
        <v>2022</v>
      </c>
      <c r="F57">
        <v>0.176496723498721</v>
      </c>
      <c r="G57" t="s">
        <v>488</v>
      </c>
      <c r="H57">
        <v>338564</v>
      </c>
      <c r="I57">
        <v>730306</v>
      </c>
      <c r="J57" t="s">
        <v>13</v>
      </c>
      <c r="K57" t="s">
        <v>36</v>
      </c>
      <c r="L57" t="s">
        <v>46</v>
      </c>
      <c r="M57" t="s">
        <v>41</v>
      </c>
      <c r="N57" t="s">
        <v>489</v>
      </c>
      <c r="O57" s="3">
        <v>44806</v>
      </c>
      <c r="P57" t="s">
        <v>490</v>
      </c>
      <c r="R57" t="s">
        <v>10</v>
      </c>
      <c r="S57" t="s">
        <v>11</v>
      </c>
      <c r="T57" t="s">
        <v>18</v>
      </c>
      <c r="U57">
        <v>24</v>
      </c>
      <c r="V57">
        <v>0</v>
      </c>
      <c r="W57">
        <v>0</v>
      </c>
      <c r="X57">
        <v>24</v>
      </c>
      <c r="Y57">
        <v>0</v>
      </c>
      <c r="Z57">
        <v>0</v>
      </c>
      <c r="AA57" s="1">
        <f>Z57/U57</f>
        <v>0</v>
      </c>
      <c r="AB57">
        <v>24</v>
      </c>
      <c r="AC57">
        <v>0</v>
      </c>
      <c r="AD57">
        <v>12</v>
      </c>
      <c r="AE57">
        <v>12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24</v>
      </c>
      <c r="AO57">
        <v>1764.96726989746</v>
      </c>
      <c r="AP57">
        <v>174.71471386464299</v>
      </c>
    </row>
    <row r="58" spans="1:42" x14ac:dyDescent="0.25">
      <c r="A58">
        <v>148</v>
      </c>
      <c r="B58">
        <v>201913</v>
      </c>
      <c r="D58" s="4">
        <v>43272</v>
      </c>
      <c r="E58" s="5">
        <f>YEAR(D58)</f>
        <v>2018</v>
      </c>
      <c r="F58">
        <v>0.18825932404344001</v>
      </c>
      <c r="G58" t="s">
        <v>526</v>
      </c>
      <c r="H58">
        <v>340603</v>
      </c>
      <c r="I58">
        <v>730390</v>
      </c>
      <c r="J58" t="s">
        <v>13</v>
      </c>
      <c r="K58" t="s">
        <v>14</v>
      </c>
      <c r="L58" t="s">
        <v>40</v>
      </c>
      <c r="M58" t="s">
        <v>41</v>
      </c>
      <c r="N58" t="s">
        <v>527</v>
      </c>
      <c r="O58" s="3">
        <v>43272</v>
      </c>
      <c r="P58" t="s">
        <v>528</v>
      </c>
      <c r="R58" t="s">
        <v>10</v>
      </c>
      <c r="S58" t="s">
        <v>11</v>
      </c>
      <c r="T58" t="s">
        <v>18</v>
      </c>
      <c r="U58">
        <v>24</v>
      </c>
      <c r="V58">
        <v>0</v>
      </c>
      <c r="W58">
        <v>0</v>
      </c>
      <c r="X58">
        <v>24</v>
      </c>
      <c r="Y58">
        <v>0</v>
      </c>
      <c r="Z58">
        <v>0</v>
      </c>
      <c r="AA58" s="1">
        <f>Z58/U58</f>
        <v>0</v>
      </c>
      <c r="AB58">
        <v>24</v>
      </c>
      <c r="AC58">
        <v>24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24</v>
      </c>
      <c r="AO58">
        <v>1882.59324645996</v>
      </c>
      <c r="AP58">
        <v>477.74616164235601</v>
      </c>
    </row>
    <row r="59" spans="1:42" x14ac:dyDescent="0.25">
      <c r="A59">
        <v>5</v>
      </c>
      <c r="B59">
        <v>200909</v>
      </c>
      <c r="C59" t="s">
        <v>27</v>
      </c>
      <c r="D59" s="4">
        <v>39817</v>
      </c>
      <c r="E59" s="5">
        <f>YEAR(D59)</f>
        <v>2009</v>
      </c>
      <c r="F59">
        <v>1.2778370949998601</v>
      </c>
      <c r="G59" t="s">
        <v>28</v>
      </c>
      <c r="H59">
        <v>338919</v>
      </c>
      <c r="I59">
        <v>733132</v>
      </c>
      <c r="J59" t="s">
        <v>13</v>
      </c>
      <c r="K59" t="s">
        <v>14</v>
      </c>
      <c r="L59" t="s">
        <v>15</v>
      </c>
      <c r="M59" t="s">
        <v>9</v>
      </c>
      <c r="N59" t="s">
        <v>29</v>
      </c>
      <c r="O59" s="3">
        <v>44153</v>
      </c>
      <c r="P59" t="s">
        <v>30</v>
      </c>
      <c r="R59" t="s">
        <v>10</v>
      </c>
      <c r="S59" t="s">
        <v>11</v>
      </c>
      <c r="T59" t="s">
        <v>11</v>
      </c>
      <c r="U59">
        <v>23</v>
      </c>
      <c r="V59">
        <v>0</v>
      </c>
      <c r="W59">
        <v>23</v>
      </c>
      <c r="X59">
        <v>0</v>
      </c>
      <c r="Y59">
        <v>0</v>
      </c>
      <c r="Z59">
        <v>0</v>
      </c>
      <c r="AA59" s="1">
        <f>Z59/U59</f>
        <v>0</v>
      </c>
      <c r="AB59">
        <v>23</v>
      </c>
      <c r="AC59">
        <v>0</v>
      </c>
      <c r="AD59">
        <v>23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23</v>
      </c>
      <c r="AO59">
        <v>12778.3708953857</v>
      </c>
      <c r="AP59">
        <v>658.18291060263903</v>
      </c>
    </row>
    <row r="60" spans="1:42" x14ac:dyDescent="0.25">
      <c r="A60">
        <v>97</v>
      </c>
      <c r="B60">
        <v>202066</v>
      </c>
      <c r="D60" s="4">
        <v>44182</v>
      </c>
      <c r="E60" s="5">
        <f>YEAR(D60)</f>
        <v>2020</v>
      </c>
      <c r="F60">
        <v>0.65834252644961699</v>
      </c>
      <c r="G60" t="s">
        <v>356</v>
      </c>
      <c r="H60">
        <v>336499</v>
      </c>
      <c r="I60">
        <v>732119</v>
      </c>
      <c r="J60" t="s">
        <v>13</v>
      </c>
      <c r="K60" t="s">
        <v>14</v>
      </c>
      <c r="L60" t="s">
        <v>357</v>
      </c>
      <c r="M60" t="s">
        <v>41</v>
      </c>
      <c r="N60" t="s">
        <v>358</v>
      </c>
      <c r="O60" s="3">
        <v>44182</v>
      </c>
      <c r="P60" t="s">
        <v>359</v>
      </c>
      <c r="R60" t="s">
        <v>10</v>
      </c>
      <c r="S60" t="s">
        <v>11</v>
      </c>
      <c r="T60" t="s">
        <v>18</v>
      </c>
      <c r="U60">
        <v>23</v>
      </c>
      <c r="V60">
        <v>0</v>
      </c>
      <c r="W60">
        <v>3</v>
      </c>
      <c r="X60">
        <v>20</v>
      </c>
      <c r="Y60">
        <v>0</v>
      </c>
      <c r="Z60">
        <v>0</v>
      </c>
      <c r="AA60" s="1">
        <f>Z60/U60</f>
        <v>0</v>
      </c>
      <c r="AB60">
        <v>23</v>
      </c>
      <c r="AC60">
        <v>10</v>
      </c>
      <c r="AD60">
        <v>13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23</v>
      </c>
      <c r="AO60">
        <v>6583.42527770996</v>
      </c>
      <c r="AP60">
        <v>553.52590004531396</v>
      </c>
    </row>
    <row r="61" spans="1:42" x14ac:dyDescent="0.25">
      <c r="A61">
        <v>98</v>
      </c>
      <c r="B61">
        <v>202067</v>
      </c>
      <c r="D61" s="4">
        <v>44182</v>
      </c>
      <c r="E61" s="5">
        <f>YEAR(D61)</f>
        <v>2020</v>
      </c>
      <c r="F61">
        <v>0.91008645124966503</v>
      </c>
      <c r="G61" t="s">
        <v>360</v>
      </c>
      <c r="H61">
        <v>336236</v>
      </c>
      <c r="I61">
        <v>731913</v>
      </c>
      <c r="J61" t="s">
        <v>13</v>
      </c>
      <c r="K61" t="s">
        <v>14</v>
      </c>
      <c r="L61" t="s">
        <v>357</v>
      </c>
      <c r="M61" t="s">
        <v>41</v>
      </c>
      <c r="N61" t="s">
        <v>361</v>
      </c>
      <c r="O61" s="3">
        <v>44182</v>
      </c>
      <c r="P61" t="s">
        <v>362</v>
      </c>
      <c r="R61" t="s">
        <v>10</v>
      </c>
      <c r="S61" t="s">
        <v>11</v>
      </c>
      <c r="T61" t="s">
        <v>18</v>
      </c>
      <c r="U61">
        <v>22</v>
      </c>
      <c r="V61">
        <v>0</v>
      </c>
      <c r="W61">
        <v>10</v>
      </c>
      <c r="X61">
        <v>12</v>
      </c>
      <c r="Y61">
        <v>0</v>
      </c>
      <c r="Z61">
        <v>0</v>
      </c>
      <c r="AA61" s="1">
        <f>Z61/U61</f>
        <v>0</v>
      </c>
      <c r="AB61">
        <v>22</v>
      </c>
      <c r="AC61">
        <v>10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22</v>
      </c>
      <c r="AO61">
        <v>9100.8646087646503</v>
      </c>
      <c r="AP61">
        <v>646.70044773751601</v>
      </c>
    </row>
    <row r="62" spans="1:42" x14ac:dyDescent="0.25">
      <c r="A62">
        <v>129</v>
      </c>
      <c r="B62">
        <v>202107</v>
      </c>
      <c r="D62" s="4">
        <v>44208</v>
      </c>
      <c r="E62" s="5">
        <f>YEAR(D62)</f>
        <v>2021</v>
      </c>
      <c r="F62">
        <v>1.14809947090175</v>
      </c>
      <c r="G62" t="s">
        <v>474</v>
      </c>
      <c r="H62">
        <v>337615</v>
      </c>
      <c r="I62">
        <v>729923</v>
      </c>
      <c r="J62" t="s">
        <v>13</v>
      </c>
      <c r="K62" t="s">
        <v>36</v>
      </c>
      <c r="L62" t="s">
        <v>475</v>
      </c>
      <c r="M62" t="s">
        <v>9</v>
      </c>
      <c r="N62" t="s">
        <v>476</v>
      </c>
      <c r="O62" s="3">
        <v>44545</v>
      </c>
      <c r="P62" t="s">
        <v>477</v>
      </c>
      <c r="R62" t="s">
        <v>10</v>
      </c>
      <c r="S62" t="s">
        <v>11</v>
      </c>
      <c r="T62" t="s">
        <v>18</v>
      </c>
      <c r="U62">
        <v>22</v>
      </c>
      <c r="V62">
        <v>0</v>
      </c>
      <c r="W62">
        <v>5</v>
      </c>
      <c r="X62">
        <v>17</v>
      </c>
      <c r="Y62">
        <v>0</v>
      </c>
      <c r="Z62">
        <v>0</v>
      </c>
      <c r="AA62" s="1">
        <f>Z62/U62</f>
        <v>0</v>
      </c>
      <c r="AB62">
        <v>22</v>
      </c>
      <c r="AC62">
        <v>0</v>
      </c>
      <c r="AD62">
        <v>10</v>
      </c>
      <c r="AE62">
        <v>12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22</v>
      </c>
      <c r="AO62">
        <v>11480.994705200201</v>
      </c>
      <c r="AP62">
        <v>479.72495222079601</v>
      </c>
    </row>
    <row r="63" spans="1:42" x14ac:dyDescent="0.25">
      <c r="A63">
        <v>15</v>
      </c>
      <c r="B63">
        <v>201415</v>
      </c>
      <c r="C63" t="s">
        <v>66</v>
      </c>
      <c r="D63" s="4">
        <v>41643</v>
      </c>
      <c r="E63" s="5">
        <f>YEAR(D63)</f>
        <v>2014</v>
      </c>
      <c r="F63">
        <v>0.66612281000174001</v>
      </c>
      <c r="G63" t="s">
        <v>67</v>
      </c>
      <c r="H63">
        <v>339075</v>
      </c>
      <c r="I63">
        <v>733403</v>
      </c>
      <c r="J63" t="s">
        <v>13</v>
      </c>
      <c r="K63" t="s">
        <v>14</v>
      </c>
      <c r="L63" t="s">
        <v>15</v>
      </c>
      <c r="M63" t="s">
        <v>9</v>
      </c>
      <c r="N63" t="s">
        <v>68</v>
      </c>
      <c r="O63" s="3">
        <v>44153</v>
      </c>
      <c r="P63" t="s">
        <v>69</v>
      </c>
      <c r="R63" t="s">
        <v>10</v>
      </c>
      <c r="S63" t="s">
        <v>11</v>
      </c>
      <c r="T63" t="s">
        <v>11</v>
      </c>
      <c r="U63">
        <v>21</v>
      </c>
      <c r="V63">
        <v>0</v>
      </c>
      <c r="W63">
        <v>21</v>
      </c>
      <c r="X63">
        <v>0</v>
      </c>
      <c r="Y63">
        <v>13</v>
      </c>
      <c r="Z63">
        <v>13</v>
      </c>
      <c r="AA63" s="1">
        <f>Z63/U63</f>
        <v>0.61904761904761907</v>
      </c>
      <c r="AB63">
        <v>8</v>
      </c>
      <c r="AC63">
        <v>10</v>
      </c>
      <c r="AD63">
        <v>11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21</v>
      </c>
      <c r="AO63">
        <v>6661.2280731201199</v>
      </c>
      <c r="AP63">
        <v>327.83104646389802</v>
      </c>
    </row>
    <row r="64" spans="1:42" x14ac:dyDescent="0.25">
      <c r="A64">
        <v>89</v>
      </c>
      <c r="B64">
        <v>202051</v>
      </c>
      <c r="D64" s="4">
        <v>44111</v>
      </c>
      <c r="E64" s="5">
        <f>YEAR(D64)</f>
        <v>2020</v>
      </c>
      <c r="F64">
        <v>0.73951974334052895</v>
      </c>
      <c r="G64" t="s">
        <v>326</v>
      </c>
      <c r="H64">
        <v>342347</v>
      </c>
      <c r="I64">
        <v>732643</v>
      </c>
      <c r="J64" t="s">
        <v>13</v>
      </c>
      <c r="K64" t="s">
        <v>14</v>
      </c>
      <c r="L64" t="s">
        <v>327</v>
      </c>
      <c r="M64" t="s">
        <v>41</v>
      </c>
      <c r="N64" t="s">
        <v>328</v>
      </c>
      <c r="O64" s="3">
        <v>44229</v>
      </c>
      <c r="P64" t="s">
        <v>329</v>
      </c>
      <c r="R64" t="s">
        <v>10</v>
      </c>
      <c r="S64" t="s">
        <v>11</v>
      </c>
      <c r="T64" t="s">
        <v>18</v>
      </c>
      <c r="U64">
        <v>21</v>
      </c>
      <c r="V64">
        <v>0</v>
      </c>
      <c r="W64">
        <v>13</v>
      </c>
      <c r="X64">
        <v>8</v>
      </c>
      <c r="Y64">
        <v>0</v>
      </c>
      <c r="Z64">
        <v>0</v>
      </c>
      <c r="AA64" s="1">
        <f>Z64/U64</f>
        <v>0</v>
      </c>
      <c r="AB64">
        <v>21</v>
      </c>
      <c r="AC64">
        <v>21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21</v>
      </c>
      <c r="AO64">
        <v>7395.1974639892596</v>
      </c>
      <c r="AP64">
        <v>363.72801977165</v>
      </c>
    </row>
    <row r="65" spans="1:42" x14ac:dyDescent="0.25">
      <c r="A65">
        <v>9</v>
      </c>
      <c r="B65">
        <v>201205</v>
      </c>
      <c r="C65" t="s">
        <v>44</v>
      </c>
      <c r="D65" s="4">
        <v>40912</v>
      </c>
      <c r="E65" s="5">
        <f>YEAR(D65)</f>
        <v>2012</v>
      </c>
      <c r="F65">
        <v>0.56489413689997203</v>
      </c>
      <c r="G65" t="s">
        <v>45</v>
      </c>
      <c r="H65">
        <v>336292</v>
      </c>
      <c r="I65">
        <v>730903</v>
      </c>
      <c r="J65" t="s">
        <v>7</v>
      </c>
      <c r="K65" t="s">
        <v>7</v>
      </c>
      <c r="L65" t="s">
        <v>46</v>
      </c>
      <c r="M65" t="s">
        <v>9</v>
      </c>
      <c r="R65" t="s">
        <v>10</v>
      </c>
      <c r="S65" t="s">
        <v>11</v>
      </c>
      <c r="T65" t="s">
        <v>11</v>
      </c>
      <c r="U65">
        <v>20</v>
      </c>
      <c r="V65">
        <v>0</v>
      </c>
      <c r="W65">
        <v>0</v>
      </c>
      <c r="X65">
        <v>0</v>
      </c>
      <c r="Y65">
        <v>0</v>
      </c>
      <c r="Z65">
        <v>0</v>
      </c>
      <c r="AA65" s="1">
        <f>Z65/U65</f>
        <v>0</v>
      </c>
      <c r="AB65">
        <v>20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5648.9412994384802</v>
      </c>
      <c r="AP65">
        <v>320.50661580920502</v>
      </c>
    </row>
    <row r="66" spans="1:42" x14ac:dyDescent="0.25">
      <c r="A66">
        <v>39</v>
      </c>
      <c r="B66">
        <v>200728</v>
      </c>
      <c r="C66" t="s">
        <v>154</v>
      </c>
      <c r="D66" s="4">
        <v>39086</v>
      </c>
      <c r="E66" s="5">
        <f>YEAR(D66)</f>
        <v>2007</v>
      </c>
      <c r="F66">
        <v>0.25971538800340199</v>
      </c>
      <c r="G66" t="s">
        <v>155</v>
      </c>
      <c r="H66">
        <v>340941</v>
      </c>
      <c r="I66">
        <v>730852</v>
      </c>
      <c r="J66" t="s">
        <v>7</v>
      </c>
      <c r="K66" t="s">
        <v>7</v>
      </c>
      <c r="L66" t="s">
        <v>46</v>
      </c>
      <c r="M66" t="s">
        <v>9</v>
      </c>
      <c r="N66" t="s">
        <v>156</v>
      </c>
      <c r="R66" t="s">
        <v>10</v>
      </c>
      <c r="S66" t="s">
        <v>11</v>
      </c>
      <c r="T66" t="s">
        <v>11</v>
      </c>
      <c r="U66">
        <v>20</v>
      </c>
      <c r="V66">
        <v>0</v>
      </c>
      <c r="W66">
        <v>0</v>
      </c>
      <c r="X66">
        <v>0</v>
      </c>
      <c r="Y66">
        <v>0</v>
      </c>
      <c r="Z66">
        <v>0</v>
      </c>
      <c r="AA66" s="1">
        <f>Z66/U66</f>
        <v>0</v>
      </c>
      <c r="AB66">
        <v>20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2597.1538696289099</v>
      </c>
      <c r="AP66">
        <v>243.99971501335</v>
      </c>
    </row>
    <row r="67" spans="1:42" x14ac:dyDescent="0.25">
      <c r="A67">
        <v>61</v>
      </c>
      <c r="B67">
        <v>200807</v>
      </c>
      <c r="C67" t="s">
        <v>216</v>
      </c>
      <c r="D67" s="4">
        <v>39451</v>
      </c>
      <c r="E67" s="5">
        <f>YEAR(D67)</f>
        <v>2008</v>
      </c>
      <c r="F67">
        <v>0.44319051000217602</v>
      </c>
      <c r="G67" t="s">
        <v>217</v>
      </c>
      <c r="H67">
        <v>337130</v>
      </c>
      <c r="I67">
        <v>732089</v>
      </c>
      <c r="J67" t="s">
        <v>7</v>
      </c>
      <c r="K67" t="s">
        <v>36</v>
      </c>
      <c r="L67" t="s">
        <v>46</v>
      </c>
      <c r="M67" t="s">
        <v>9</v>
      </c>
      <c r="R67" t="s">
        <v>10</v>
      </c>
      <c r="S67" t="s">
        <v>11</v>
      </c>
      <c r="T67" t="s">
        <v>11</v>
      </c>
      <c r="U67">
        <v>18</v>
      </c>
      <c r="V67">
        <v>0</v>
      </c>
      <c r="W67">
        <v>0</v>
      </c>
      <c r="X67">
        <v>0</v>
      </c>
      <c r="Y67">
        <v>0</v>
      </c>
      <c r="Z67">
        <v>0</v>
      </c>
      <c r="AA67" s="1">
        <f>Z67/U67</f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4431.9051055908203</v>
      </c>
      <c r="AP67">
        <v>263.43911525473999</v>
      </c>
    </row>
    <row r="68" spans="1:42" x14ac:dyDescent="0.25">
      <c r="A68">
        <v>128</v>
      </c>
      <c r="B68">
        <v>202106</v>
      </c>
      <c r="D68" s="4">
        <v>44204</v>
      </c>
      <c r="E68" s="5">
        <f>YEAR(D68)</f>
        <v>2021</v>
      </c>
      <c r="F68">
        <v>0.21119592168807799</v>
      </c>
      <c r="G68" t="s">
        <v>470</v>
      </c>
      <c r="H68">
        <v>337386</v>
      </c>
      <c r="I68">
        <v>732179</v>
      </c>
      <c r="J68" t="s">
        <v>13</v>
      </c>
      <c r="K68" t="s">
        <v>14</v>
      </c>
      <c r="L68" t="s">
        <v>471</v>
      </c>
      <c r="M68" t="s">
        <v>41</v>
      </c>
      <c r="N68" t="s">
        <v>472</v>
      </c>
      <c r="O68" s="3">
        <v>44425</v>
      </c>
      <c r="P68" t="s">
        <v>473</v>
      </c>
      <c r="R68" t="s">
        <v>10</v>
      </c>
      <c r="S68" t="s">
        <v>11</v>
      </c>
      <c r="T68" t="s">
        <v>18</v>
      </c>
      <c r="U68">
        <v>18</v>
      </c>
      <c r="V68">
        <v>0</v>
      </c>
      <c r="W68">
        <v>0</v>
      </c>
      <c r="X68">
        <v>18</v>
      </c>
      <c r="Y68">
        <v>0</v>
      </c>
      <c r="Z68">
        <v>0</v>
      </c>
      <c r="AA68" s="1">
        <f>Z68/U68</f>
        <v>0</v>
      </c>
      <c r="AB68">
        <v>18</v>
      </c>
      <c r="AC68">
        <v>18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18</v>
      </c>
      <c r="AO68">
        <v>2111.9591674804701</v>
      </c>
      <c r="AP68">
        <v>197.300953226899</v>
      </c>
    </row>
    <row r="69" spans="1:42" x14ac:dyDescent="0.25">
      <c r="A69">
        <v>143</v>
      </c>
      <c r="B69">
        <v>202303</v>
      </c>
      <c r="D69" s="4">
        <v>44831</v>
      </c>
      <c r="E69" s="5">
        <f>YEAR(D69)</f>
        <v>2022</v>
      </c>
      <c r="F69">
        <v>0.15990629869353401</v>
      </c>
      <c r="G69" t="s">
        <v>516</v>
      </c>
      <c r="H69">
        <v>339644</v>
      </c>
      <c r="I69">
        <v>730319</v>
      </c>
      <c r="J69" t="s">
        <v>13</v>
      </c>
      <c r="K69" t="s">
        <v>36</v>
      </c>
      <c r="L69" t="s">
        <v>8</v>
      </c>
      <c r="M69" t="s">
        <v>9</v>
      </c>
      <c r="N69" t="s">
        <v>517</v>
      </c>
      <c r="O69" s="3">
        <v>44831</v>
      </c>
      <c r="R69" t="s">
        <v>10</v>
      </c>
      <c r="S69" t="s">
        <v>11</v>
      </c>
      <c r="T69" t="s">
        <v>18</v>
      </c>
      <c r="U69">
        <v>18</v>
      </c>
      <c r="V69">
        <v>0</v>
      </c>
      <c r="W69">
        <v>0</v>
      </c>
      <c r="X69">
        <v>18</v>
      </c>
      <c r="Y69">
        <v>0</v>
      </c>
      <c r="Z69">
        <v>0</v>
      </c>
      <c r="AA69" s="1">
        <f>Z69/U69</f>
        <v>0</v>
      </c>
      <c r="AB69">
        <v>18</v>
      </c>
      <c r="AC69">
        <v>0</v>
      </c>
      <c r="AD69">
        <v>0</v>
      </c>
      <c r="AE69">
        <v>18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18</v>
      </c>
      <c r="AO69">
        <v>1599.0630187988299</v>
      </c>
      <c r="AP69">
        <v>187.75739627304</v>
      </c>
    </row>
    <row r="70" spans="1:42" x14ac:dyDescent="0.25">
      <c r="A70">
        <v>177</v>
      </c>
      <c r="B70" t="s">
        <v>601</v>
      </c>
      <c r="C70" t="s">
        <v>602</v>
      </c>
      <c r="D70" s="4">
        <v>45182</v>
      </c>
      <c r="E70" s="5">
        <f>YEAR(D70)</f>
        <v>2023</v>
      </c>
      <c r="F70">
        <v>1.2007074263635</v>
      </c>
      <c r="G70" t="s">
        <v>603</v>
      </c>
      <c r="H70">
        <v>343204</v>
      </c>
      <c r="I70">
        <v>733328</v>
      </c>
      <c r="J70" t="s">
        <v>13</v>
      </c>
      <c r="K70" t="s">
        <v>36</v>
      </c>
      <c r="L70" t="s">
        <v>327</v>
      </c>
      <c r="M70" t="s">
        <v>604</v>
      </c>
      <c r="N70" t="s">
        <v>605</v>
      </c>
      <c r="O70" s="3">
        <v>45182</v>
      </c>
      <c r="P70" t="s">
        <v>606</v>
      </c>
      <c r="R70" t="s">
        <v>10</v>
      </c>
      <c r="S70" t="s">
        <v>11</v>
      </c>
      <c r="U70">
        <v>18</v>
      </c>
      <c r="V70">
        <v>0</v>
      </c>
      <c r="W70">
        <v>10</v>
      </c>
      <c r="X70">
        <v>8</v>
      </c>
      <c r="Y70">
        <v>0</v>
      </c>
      <c r="Z70">
        <v>0</v>
      </c>
      <c r="AA70" s="1">
        <f>Z70/U70</f>
        <v>0</v>
      </c>
      <c r="AB70">
        <v>18</v>
      </c>
      <c r="AC70">
        <v>0</v>
      </c>
      <c r="AD70">
        <v>0</v>
      </c>
      <c r="AE70">
        <v>18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18</v>
      </c>
      <c r="AO70">
        <v>12007.0742797852</v>
      </c>
      <c r="AP70">
        <v>637.79790290172605</v>
      </c>
    </row>
    <row r="71" spans="1:42" x14ac:dyDescent="0.25">
      <c r="A71">
        <v>40</v>
      </c>
      <c r="B71">
        <v>201214</v>
      </c>
      <c r="C71" t="s">
        <v>157</v>
      </c>
      <c r="D71" s="4">
        <v>40912</v>
      </c>
      <c r="E71" s="5">
        <f>YEAR(D71)</f>
        <v>2012</v>
      </c>
      <c r="F71">
        <v>0.44669889979889399</v>
      </c>
      <c r="G71" t="s">
        <v>158</v>
      </c>
      <c r="H71">
        <v>341531</v>
      </c>
      <c r="I71">
        <v>733473</v>
      </c>
      <c r="J71" t="s">
        <v>13</v>
      </c>
      <c r="K71" t="s">
        <v>36</v>
      </c>
      <c r="L71" t="s">
        <v>51</v>
      </c>
      <c r="M71" t="s">
        <v>41</v>
      </c>
      <c r="N71" t="s">
        <v>159</v>
      </c>
      <c r="O71" s="3">
        <v>45536</v>
      </c>
      <c r="P71" t="s">
        <v>160</v>
      </c>
      <c r="R71" t="s">
        <v>10</v>
      </c>
      <c r="S71" t="s">
        <v>11</v>
      </c>
      <c r="T71" t="s">
        <v>11</v>
      </c>
      <c r="U71">
        <v>17</v>
      </c>
      <c r="V71">
        <v>0</v>
      </c>
      <c r="W71">
        <v>7</v>
      </c>
      <c r="X71">
        <v>10</v>
      </c>
      <c r="Y71">
        <v>0</v>
      </c>
      <c r="Z71">
        <v>0</v>
      </c>
      <c r="AA71" s="1">
        <f>Z71/U71</f>
        <v>0</v>
      </c>
      <c r="AB71">
        <v>17</v>
      </c>
      <c r="AC71">
        <v>0</v>
      </c>
      <c r="AD71">
        <v>17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17</v>
      </c>
      <c r="AO71">
        <v>4466.9889678955096</v>
      </c>
      <c r="AP71">
        <v>301.25486455957702</v>
      </c>
    </row>
    <row r="72" spans="1:42" x14ac:dyDescent="0.25">
      <c r="A72">
        <v>70</v>
      </c>
      <c r="B72">
        <v>201910</v>
      </c>
      <c r="D72" s="4">
        <v>43448</v>
      </c>
      <c r="E72" s="5">
        <f>YEAR(D72)</f>
        <v>2018</v>
      </c>
      <c r="F72">
        <v>0.28532220319929902</v>
      </c>
      <c r="G72" t="s">
        <v>253</v>
      </c>
      <c r="H72">
        <v>339735</v>
      </c>
      <c r="I72">
        <v>730377</v>
      </c>
      <c r="J72" t="s">
        <v>13</v>
      </c>
      <c r="K72" t="s">
        <v>14</v>
      </c>
      <c r="L72" t="s">
        <v>254</v>
      </c>
      <c r="M72" t="s">
        <v>9</v>
      </c>
      <c r="N72" t="s">
        <v>255</v>
      </c>
      <c r="O72" s="3">
        <v>43448</v>
      </c>
      <c r="P72" t="s">
        <v>256</v>
      </c>
      <c r="R72" t="s">
        <v>10</v>
      </c>
      <c r="S72" t="s">
        <v>11</v>
      </c>
      <c r="T72" t="s">
        <v>18</v>
      </c>
      <c r="U72">
        <v>17</v>
      </c>
      <c r="V72">
        <v>0</v>
      </c>
      <c r="W72">
        <v>0</v>
      </c>
      <c r="X72">
        <v>17</v>
      </c>
      <c r="Y72">
        <v>0</v>
      </c>
      <c r="Z72">
        <v>0</v>
      </c>
      <c r="AA72" s="1">
        <f>Z72/U72</f>
        <v>0</v>
      </c>
      <c r="AB72">
        <v>17</v>
      </c>
      <c r="AC72">
        <v>17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17</v>
      </c>
      <c r="AO72">
        <v>2853.2219848632799</v>
      </c>
      <c r="AP72">
        <v>449.42344888159403</v>
      </c>
    </row>
    <row r="73" spans="1:42" x14ac:dyDescent="0.25">
      <c r="A73">
        <v>131</v>
      </c>
      <c r="B73" t="s">
        <v>480</v>
      </c>
      <c r="C73" t="s">
        <v>170</v>
      </c>
      <c r="D73" s="4">
        <v>44911</v>
      </c>
      <c r="E73" s="5">
        <f>YEAR(D73)</f>
        <v>2022</v>
      </c>
      <c r="F73">
        <v>1.34362977488538</v>
      </c>
      <c r="G73" t="s">
        <v>171</v>
      </c>
      <c r="H73">
        <v>343303</v>
      </c>
      <c r="I73">
        <v>733461</v>
      </c>
      <c r="J73" t="s">
        <v>13</v>
      </c>
      <c r="K73" t="s">
        <v>36</v>
      </c>
      <c r="L73" t="s">
        <v>481</v>
      </c>
      <c r="M73" t="s">
        <v>9</v>
      </c>
      <c r="N73" t="s">
        <v>172</v>
      </c>
      <c r="O73" s="3">
        <v>44911</v>
      </c>
      <c r="R73" t="s">
        <v>10</v>
      </c>
      <c r="S73" t="s">
        <v>11</v>
      </c>
      <c r="T73" t="s">
        <v>11</v>
      </c>
      <c r="U73">
        <v>17</v>
      </c>
      <c r="V73">
        <v>0</v>
      </c>
      <c r="W73">
        <v>17</v>
      </c>
      <c r="X73">
        <v>0</v>
      </c>
      <c r="Y73">
        <v>0</v>
      </c>
      <c r="Z73">
        <v>0</v>
      </c>
      <c r="AA73" s="1">
        <f>Z73/U73</f>
        <v>0</v>
      </c>
      <c r="AB73">
        <v>17</v>
      </c>
      <c r="AC73">
        <v>0</v>
      </c>
      <c r="AD73">
        <v>17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17</v>
      </c>
      <c r="AO73">
        <v>13436.2976837158</v>
      </c>
      <c r="AP73">
        <v>651.54937236415105</v>
      </c>
    </row>
    <row r="74" spans="1:42" x14ac:dyDescent="0.25">
      <c r="A74">
        <v>69</v>
      </c>
      <c r="B74">
        <v>201906</v>
      </c>
      <c r="D74" s="4">
        <v>43368</v>
      </c>
      <c r="E74" s="5">
        <f>YEAR(D74)</f>
        <v>2018</v>
      </c>
      <c r="F74">
        <v>0.14060622553524599</v>
      </c>
      <c r="G74" t="s">
        <v>250</v>
      </c>
      <c r="H74">
        <v>341037</v>
      </c>
      <c r="I74">
        <v>731374</v>
      </c>
      <c r="J74" t="s">
        <v>13</v>
      </c>
      <c r="K74" t="s">
        <v>14</v>
      </c>
      <c r="L74" t="s">
        <v>40</v>
      </c>
      <c r="M74" t="s">
        <v>41</v>
      </c>
      <c r="N74" t="s">
        <v>251</v>
      </c>
      <c r="O74" s="3">
        <v>43368</v>
      </c>
      <c r="P74" t="s">
        <v>252</v>
      </c>
      <c r="R74" t="s">
        <v>10</v>
      </c>
      <c r="S74" t="s">
        <v>11</v>
      </c>
      <c r="T74" t="s">
        <v>18</v>
      </c>
      <c r="U74">
        <v>16</v>
      </c>
      <c r="V74">
        <v>0</v>
      </c>
      <c r="W74">
        <v>0</v>
      </c>
      <c r="X74">
        <v>16</v>
      </c>
      <c r="Y74">
        <v>0</v>
      </c>
      <c r="Z74">
        <v>0</v>
      </c>
      <c r="AA74" s="1">
        <f>Z74/U74</f>
        <v>0</v>
      </c>
      <c r="AB74">
        <v>16</v>
      </c>
      <c r="AC74">
        <v>16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16</v>
      </c>
      <c r="AO74">
        <v>1406.0623168945301</v>
      </c>
      <c r="AP74">
        <v>178.20006232117601</v>
      </c>
    </row>
    <row r="75" spans="1:42" x14ac:dyDescent="0.25">
      <c r="A75">
        <v>164</v>
      </c>
      <c r="B75">
        <v>202324</v>
      </c>
      <c r="D75" s="4">
        <v>45118</v>
      </c>
      <c r="E75" s="5">
        <f>YEAR(D75)</f>
        <v>2023</v>
      </c>
      <c r="F75">
        <v>0.15233521015216001</v>
      </c>
      <c r="G75" t="s">
        <v>571</v>
      </c>
      <c r="H75">
        <v>336124</v>
      </c>
      <c r="I75">
        <v>731003</v>
      </c>
      <c r="J75" t="s">
        <v>13</v>
      </c>
      <c r="K75" t="s">
        <v>36</v>
      </c>
      <c r="L75" t="s">
        <v>572</v>
      </c>
      <c r="M75" t="s">
        <v>9</v>
      </c>
      <c r="N75" t="s">
        <v>573</v>
      </c>
      <c r="O75" s="3">
        <v>45118</v>
      </c>
      <c r="P75" t="s">
        <v>574</v>
      </c>
      <c r="R75" t="s">
        <v>10</v>
      </c>
      <c r="S75" t="s">
        <v>11</v>
      </c>
      <c r="T75" t="s">
        <v>18</v>
      </c>
      <c r="U75">
        <v>16</v>
      </c>
      <c r="V75">
        <v>0</v>
      </c>
      <c r="W75">
        <v>0</v>
      </c>
      <c r="X75">
        <v>16</v>
      </c>
      <c r="Y75">
        <v>0</v>
      </c>
      <c r="Z75">
        <v>0</v>
      </c>
      <c r="AA75" s="1">
        <f>Z75/U75</f>
        <v>0</v>
      </c>
      <c r="AB75">
        <v>16</v>
      </c>
      <c r="AC75">
        <v>0</v>
      </c>
      <c r="AD75">
        <v>8</v>
      </c>
      <c r="AE75">
        <v>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16</v>
      </c>
      <c r="AO75">
        <v>1523.3521270752001</v>
      </c>
      <c r="AP75">
        <v>176.32904095374101</v>
      </c>
    </row>
    <row r="76" spans="1:42" x14ac:dyDescent="0.25">
      <c r="A76">
        <v>183</v>
      </c>
      <c r="B76">
        <v>201812</v>
      </c>
      <c r="C76" t="s">
        <v>623</v>
      </c>
      <c r="D76" s="4">
        <v>43454</v>
      </c>
      <c r="E76" s="5">
        <f>YEAR(D76)</f>
        <v>2018</v>
      </c>
      <c r="F76">
        <v>0.10108984593146</v>
      </c>
      <c r="G76" t="s">
        <v>628</v>
      </c>
      <c r="H76">
        <v>341183</v>
      </c>
      <c r="I76">
        <v>731151</v>
      </c>
      <c r="J76" t="s">
        <v>13</v>
      </c>
      <c r="K76" t="s">
        <v>23</v>
      </c>
      <c r="L76" t="s">
        <v>629</v>
      </c>
      <c r="M76" t="s">
        <v>41</v>
      </c>
      <c r="N76" t="s">
        <v>630</v>
      </c>
      <c r="O76" s="3">
        <v>43454</v>
      </c>
      <c r="P76" t="s">
        <v>631</v>
      </c>
      <c r="Q76" s="3">
        <v>45028</v>
      </c>
      <c r="R76" t="s">
        <v>10</v>
      </c>
      <c r="S76" t="s">
        <v>11</v>
      </c>
      <c r="T76" t="s">
        <v>18</v>
      </c>
      <c r="U76">
        <v>16</v>
      </c>
      <c r="V76">
        <v>0</v>
      </c>
      <c r="W76">
        <v>0</v>
      </c>
      <c r="X76">
        <v>16</v>
      </c>
      <c r="Y76">
        <v>16</v>
      </c>
      <c r="Z76">
        <v>16</v>
      </c>
      <c r="AA76" s="1">
        <f>Z76/U76</f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1010.89839172363</v>
      </c>
      <c r="AP76">
        <v>136.03068423786999</v>
      </c>
    </row>
    <row r="77" spans="1:42" x14ac:dyDescent="0.25">
      <c r="A77">
        <v>44</v>
      </c>
      <c r="B77">
        <v>200353</v>
      </c>
      <c r="C77" t="s">
        <v>168</v>
      </c>
      <c r="D77" s="4">
        <v>37625</v>
      </c>
      <c r="E77" s="5">
        <f>YEAR(D77)</f>
        <v>2003</v>
      </c>
      <c r="F77">
        <v>0.83452929051428104</v>
      </c>
      <c r="G77" t="s">
        <v>169</v>
      </c>
      <c r="H77">
        <v>343118</v>
      </c>
      <c r="I77">
        <v>733510</v>
      </c>
      <c r="J77" t="s">
        <v>7</v>
      </c>
      <c r="K77" t="s">
        <v>7</v>
      </c>
      <c r="L77" t="s">
        <v>46</v>
      </c>
      <c r="M77" t="s">
        <v>41</v>
      </c>
      <c r="R77" t="s">
        <v>10</v>
      </c>
      <c r="S77" t="s">
        <v>11</v>
      </c>
      <c r="T77" t="s">
        <v>11</v>
      </c>
      <c r="U77">
        <v>15</v>
      </c>
      <c r="V77">
        <v>0</v>
      </c>
      <c r="W77">
        <v>0</v>
      </c>
      <c r="X77">
        <v>0</v>
      </c>
      <c r="Y77">
        <v>0</v>
      </c>
      <c r="Z77">
        <v>0</v>
      </c>
      <c r="AA77" s="1">
        <f>Z77/U77</f>
        <v>0</v>
      </c>
      <c r="AB77">
        <v>15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8345.2929840087909</v>
      </c>
      <c r="AP77">
        <v>457.76704404900897</v>
      </c>
    </row>
    <row r="78" spans="1:42" x14ac:dyDescent="0.25">
      <c r="A78">
        <v>115</v>
      </c>
      <c r="B78">
        <v>202071</v>
      </c>
      <c r="D78" s="4">
        <v>44248</v>
      </c>
      <c r="E78" s="5">
        <f>YEAR(D78)</f>
        <v>2021</v>
      </c>
      <c r="F78">
        <v>0.12897431677955001</v>
      </c>
      <c r="G78" t="s">
        <v>421</v>
      </c>
      <c r="H78">
        <v>340134</v>
      </c>
      <c r="I78">
        <v>730639</v>
      </c>
      <c r="J78" t="s">
        <v>13</v>
      </c>
      <c r="K78" t="s">
        <v>23</v>
      </c>
      <c r="L78" t="s">
        <v>40</v>
      </c>
      <c r="M78" t="s">
        <v>41</v>
      </c>
      <c r="N78" t="s">
        <v>422</v>
      </c>
      <c r="O78" s="3">
        <v>44251</v>
      </c>
      <c r="P78" t="s">
        <v>423</v>
      </c>
      <c r="Q78" s="3">
        <v>45264</v>
      </c>
      <c r="R78" t="s">
        <v>10</v>
      </c>
      <c r="S78" t="s">
        <v>11</v>
      </c>
      <c r="T78" t="s">
        <v>18</v>
      </c>
      <c r="U78">
        <v>15</v>
      </c>
      <c r="V78">
        <v>0</v>
      </c>
      <c r="W78">
        <v>0</v>
      </c>
      <c r="X78">
        <v>15</v>
      </c>
      <c r="Y78">
        <v>15</v>
      </c>
      <c r="Z78">
        <v>15</v>
      </c>
      <c r="AA78" s="1">
        <f>Z78/U78</f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15</v>
      </c>
      <c r="AO78">
        <v>1289.7431030273401</v>
      </c>
      <c r="AP78">
        <v>151.94391851222801</v>
      </c>
    </row>
    <row r="79" spans="1:42" x14ac:dyDescent="0.25">
      <c r="A79">
        <v>4</v>
      </c>
      <c r="B79">
        <v>201702</v>
      </c>
      <c r="D79" s="4">
        <v>42376</v>
      </c>
      <c r="E79" s="5">
        <f>YEAR(D79)</f>
        <v>2016</v>
      </c>
      <c r="F79">
        <v>0.45959589999413503</v>
      </c>
      <c r="G79" t="s">
        <v>22</v>
      </c>
      <c r="H79">
        <v>337271</v>
      </c>
      <c r="I79">
        <v>731747</v>
      </c>
      <c r="J79" t="s">
        <v>13</v>
      </c>
      <c r="K79" t="s">
        <v>23</v>
      </c>
      <c r="L79" t="s">
        <v>24</v>
      </c>
      <c r="M79" t="s">
        <v>9</v>
      </c>
      <c r="N79" t="s">
        <v>25</v>
      </c>
      <c r="O79" s="3">
        <v>42376</v>
      </c>
      <c r="P79" t="s">
        <v>26</v>
      </c>
      <c r="Q79" s="3">
        <v>44932</v>
      </c>
      <c r="R79" t="s">
        <v>10</v>
      </c>
      <c r="S79" t="s">
        <v>11</v>
      </c>
      <c r="T79" t="s">
        <v>18</v>
      </c>
      <c r="U79">
        <v>14</v>
      </c>
      <c r="V79">
        <v>0</v>
      </c>
      <c r="W79">
        <v>14</v>
      </c>
      <c r="X79">
        <v>0</v>
      </c>
      <c r="Y79">
        <v>14</v>
      </c>
      <c r="Z79">
        <v>14</v>
      </c>
      <c r="AA79" s="1">
        <f>Z79/U79</f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14</v>
      </c>
      <c r="AO79">
        <v>4595.95899963379</v>
      </c>
      <c r="AP79">
        <v>269.43884330198398</v>
      </c>
    </row>
    <row r="80" spans="1:42" x14ac:dyDescent="0.25">
      <c r="A80">
        <v>81</v>
      </c>
      <c r="B80">
        <v>202022</v>
      </c>
      <c r="D80" s="4">
        <v>43835</v>
      </c>
      <c r="E80" s="5">
        <f>YEAR(D80)</f>
        <v>2020</v>
      </c>
      <c r="F80">
        <v>0.31928678045299103</v>
      </c>
      <c r="G80" t="s">
        <v>295</v>
      </c>
      <c r="H80">
        <v>339035</v>
      </c>
      <c r="I80">
        <v>733033</v>
      </c>
      <c r="J80" t="s">
        <v>13</v>
      </c>
      <c r="K80" t="s">
        <v>14</v>
      </c>
      <c r="L80" t="s">
        <v>296</v>
      </c>
      <c r="M80" t="s">
        <v>9</v>
      </c>
      <c r="N80" t="s">
        <v>297</v>
      </c>
      <c r="O80" s="3">
        <v>43835</v>
      </c>
      <c r="P80" t="s">
        <v>298</v>
      </c>
      <c r="R80" t="s">
        <v>10</v>
      </c>
      <c r="S80" t="s">
        <v>11</v>
      </c>
      <c r="T80" t="s">
        <v>18</v>
      </c>
      <c r="U80">
        <v>14</v>
      </c>
      <c r="V80">
        <v>0</v>
      </c>
      <c r="W80">
        <v>2</v>
      </c>
      <c r="X80">
        <v>12</v>
      </c>
      <c r="Y80">
        <v>2</v>
      </c>
      <c r="Z80">
        <v>4</v>
      </c>
      <c r="AA80" s="1">
        <f>Z80/U80</f>
        <v>0.2857142857142857</v>
      </c>
      <c r="AB80">
        <v>10</v>
      </c>
      <c r="AC80">
        <v>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10</v>
      </c>
      <c r="AO80">
        <v>3192.8678283691402</v>
      </c>
      <c r="AP80">
        <v>254.915360640887</v>
      </c>
    </row>
    <row r="81" spans="1:42" x14ac:dyDescent="0.25">
      <c r="A81">
        <v>100</v>
      </c>
      <c r="B81">
        <v>202024</v>
      </c>
      <c r="D81" s="4">
        <v>43972</v>
      </c>
      <c r="E81" s="5">
        <f>YEAR(D81)</f>
        <v>2020</v>
      </c>
      <c r="F81">
        <v>1.0199632708328099</v>
      </c>
      <c r="G81" t="s">
        <v>366</v>
      </c>
      <c r="H81">
        <v>342795</v>
      </c>
      <c r="I81">
        <v>732954</v>
      </c>
      <c r="J81" t="s">
        <v>13</v>
      </c>
      <c r="K81" t="s">
        <v>14</v>
      </c>
      <c r="L81" t="s">
        <v>367</v>
      </c>
      <c r="M81" t="s">
        <v>9</v>
      </c>
      <c r="N81" t="s">
        <v>368</v>
      </c>
      <c r="O81" s="3">
        <v>43972</v>
      </c>
      <c r="P81" t="s">
        <v>369</v>
      </c>
      <c r="R81" t="s">
        <v>10</v>
      </c>
      <c r="S81" t="s">
        <v>11</v>
      </c>
      <c r="T81" t="s">
        <v>18</v>
      </c>
      <c r="U81">
        <v>14</v>
      </c>
      <c r="V81">
        <v>0</v>
      </c>
      <c r="W81">
        <v>14</v>
      </c>
      <c r="X81">
        <v>0</v>
      </c>
      <c r="Y81">
        <v>4</v>
      </c>
      <c r="Z81">
        <v>12</v>
      </c>
      <c r="AA81" s="1">
        <f>Z81/U81</f>
        <v>0.8571428571428571</v>
      </c>
      <c r="AB81">
        <v>2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</v>
      </c>
      <c r="AO81">
        <v>10199.6327514648</v>
      </c>
      <c r="AP81">
        <v>488.68061123550399</v>
      </c>
    </row>
    <row r="82" spans="1:42" x14ac:dyDescent="0.25">
      <c r="A82">
        <v>141</v>
      </c>
      <c r="B82">
        <v>202207</v>
      </c>
      <c r="D82" s="4">
        <v>43486</v>
      </c>
      <c r="E82" s="5">
        <f>YEAR(D82)</f>
        <v>2019</v>
      </c>
      <c r="F82">
        <v>0.117999034614579</v>
      </c>
      <c r="G82" t="s">
        <v>510</v>
      </c>
      <c r="H82">
        <v>340869</v>
      </c>
      <c r="I82">
        <v>731410</v>
      </c>
      <c r="J82" t="s">
        <v>13</v>
      </c>
      <c r="K82" t="s">
        <v>23</v>
      </c>
      <c r="L82" t="s">
        <v>8</v>
      </c>
      <c r="M82" t="s">
        <v>151</v>
      </c>
      <c r="N82" t="s">
        <v>511</v>
      </c>
      <c r="O82" s="3">
        <v>44672</v>
      </c>
      <c r="P82" t="s">
        <v>512</v>
      </c>
      <c r="Q82" s="3">
        <v>45294</v>
      </c>
      <c r="R82" t="s">
        <v>10</v>
      </c>
      <c r="S82" t="s">
        <v>11</v>
      </c>
      <c r="T82" t="s">
        <v>18</v>
      </c>
      <c r="U82">
        <v>14</v>
      </c>
      <c r="V82">
        <v>0</v>
      </c>
      <c r="W82">
        <v>0</v>
      </c>
      <c r="X82">
        <v>14</v>
      </c>
      <c r="Y82">
        <v>14</v>
      </c>
      <c r="Z82">
        <v>14</v>
      </c>
      <c r="AA82" s="1">
        <f>Z82/U82</f>
        <v>1</v>
      </c>
      <c r="AB82">
        <v>0</v>
      </c>
      <c r="AC82">
        <v>0</v>
      </c>
      <c r="AD82">
        <v>0</v>
      </c>
      <c r="AE82">
        <v>14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14</v>
      </c>
      <c r="AO82">
        <v>1179.9903717041</v>
      </c>
      <c r="AP82">
        <v>144.99990438458201</v>
      </c>
    </row>
    <row r="83" spans="1:42" x14ac:dyDescent="0.25">
      <c r="A83">
        <v>156</v>
      </c>
      <c r="B83" t="s">
        <v>550</v>
      </c>
      <c r="C83" t="s">
        <v>207</v>
      </c>
      <c r="D83" s="4">
        <v>43857</v>
      </c>
      <c r="E83" s="5">
        <f>YEAR(D83)</f>
        <v>2020</v>
      </c>
      <c r="F83">
        <v>0.14348205147904999</v>
      </c>
      <c r="G83" t="s">
        <v>551</v>
      </c>
      <c r="H83">
        <v>337888</v>
      </c>
      <c r="I83">
        <v>731469</v>
      </c>
      <c r="J83" t="s">
        <v>13</v>
      </c>
      <c r="K83" t="s">
        <v>98</v>
      </c>
      <c r="L83" t="s">
        <v>40</v>
      </c>
      <c r="M83" t="s">
        <v>41</v>
      </c>
      <c r="N83" t="s">
        <v>552</v>
      </c>
      <c r="O83" s="3">
        <v>43857</v>
      </c>
      <c r="P83" t="s">
        <v>210</v>
      </c>
      <c r="R83" t="s">
        <v>10</v>
      </c>
      <c r="S83" t="s">
        <v>11</v>
      </c>
      <c r="T83" t="s">
        <v>11</v>
      </c>
      <c r="U83">
        <v>14</v>
      </c>
      <c r="V83">
        <v>0</v>
      </c>
      <c r="W83">
        <v>0</v>
      </c>
      <c r="X83">
        <v>14</v>
      </c>
      <c r="Y83">
        <v>0</v>
      </c>
      <c r="Z83">
        <v>0</v>
      </c>
      <c r="AA83" s="1">
        <f>Z83/U83</f>
        <v>0</v>
      </c>
      <c r="AB83">
        <v>14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O83">
        <v>1434.8205108642601</v>
      </c>
      <c r="AP83">
        <v>164.53138720809901</v>
      </c>
    </row>
    <row r="84" spans="1:42" x14ac:dyDescent="0.25">
      <c r="A84">
        <v>180</v>
      </c>
      <c r="B84">
        <v>202115</v>
      </c>
      <c r="D84" s="4">
        <v>44518</v>
      </c>
      <c r="E84" s="5">
        <f>YEAR(D84)</f>
        <v>2021</v>
      </c>
      <c r="F84">
        <v>2.84122882491347E-2</v>
      </c>
      <c r="G84" t="s">
        <v>615</v>
      </c>
      <c r="H84">
        <v>340357</v>
      </c>
      <c r="I84">
        <v>730131</v>
      </c>
      <c r="J84" t="s">
        <v>13</v>
      </c>
      <c r="K84" t="s">
        <v>36</v>
      </c>
      <c r="L84" t="s">
        <v>616</v>
      </c>
      <c r="M84" t="s">
        <v>9</v>
      </c>
      <c r="N84" t="s">
        <v>617</v>
      </c>
      <c r="O84" s="3">
        <v>44518</v>
      </c>
      <c r="P84" t="s">
        <v>618</v>
      </c>
      <c r="R84" t="s">
        <v>10</v>
      </c>
      <c r="S84" t="s">
        <v>11</v>
      </c>
      <c r="T84" t="s">
        <v>18</v>
      </c>
      <c r="U84">
        <v>14</v>
      </c>
      <c r="V84">
        <v>0</v>
      </c>
      <c r="W84">
        <v>0</v>
      </c>
      <c r="X84">
        <v>14</v>
      </c>
      <c r="Y84">
        <v>0</v>
      </c>
      <c r="Z84">
        <v>0</v>
      </c>
      <c r="AA84" s="1">
        <f>Z84/U84</f>
        <v>0</v>
      </c>
      <c r="AB84">
        <v>14</v>
      </c>
      <c r="AC84">
        <v>14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14</v>
      </c>
      <c r="AO84">
        <v>284.12283325195301</v>
      </c>
      <c r="AP84">
        <v>72.071235442182498</v>
      </c>
    </row>
    <row r="85" spans="1:42" x14ac:dyDescent="0.25">
      <c r="A85">
        <v>64</v>
      </c>
      <c r="B85" t="s">
        <v>228</v>
      </c>
      <c r="C85" t="s">
        <v>229</v>
      </c>
      <c r="D85" s="4">
        <v>43419</v>
      </c>
      <c r="E85" s="5">
        <f>YEAR(D85)</f>
        <v>2018</v>
      </c>
      <c r="F85">
        <v>0.474455118439642</v>
      </c>
      <c r="G85" t="s">
        <v>230</v>
      </c>
      <c r="H85">
        <v>343571</v>
      </c>
      <c r="I85">
        <v>733519</v>
      </c>
      <c r="J85" t="s">
        <v>13</v>
      </c>
      <c r="K85" t="s">
        <v>23</v>
      </c>
      <c r="L85" t="s">
        <v>231</v>
      </c>
      <c r="M85" t="s">
        <v>167</v>
      </c>
      <c r="N85" t="s">
        <v>232</v>
      </c>
      <c r="O85" s="3">
        <v>43727</v>
      </c>
      <c r="P85" t="s">
        <v>233</v>
      </c>
      <c r="Q85" s="3">
        <v>45235</v>
      </c>
      <c r="R85" t="s">
        <v>10</v>
      </c>
      <c r="S85" t="s">
        <v>11</v>
      </c>
      <c r="T85" t="s">
        <v>11</v>
      </c>
      <c r="U85">
        <v>13</v>
      </c>
      <c r="V85">
        <v>0</v>
      </c>
      <c r="W85">
        <v>13</v>
      </c>
      <c r="X85">
        <v>0</v>
      </c>
      <c r="Y85">
        <v>2</v>
      </c>
      <c r="Z85">
        <v>13</v>
      </c>
      <c r="AA85" s="1">
        <f>Z85/U85</f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3</v>
      </c>
      <c r="AO85">
        <v>4744.55125427246</v>
      </c>
      <c r="AP85">
        <v>423.049514426678</v>
      </c>
    </row>
    <row r="86" spans="1:42" x14ac:dyDescent="0.25">
      <c r="A86">
        <v>46</v>
      </c>
      <c r="B86">
        <v>201220</v>
      </c>
      <c r="C86" t="s">
        <v>173</v>
      </c>
      <c r="D86" s="4">
        <v>40912</v>
      </c>
      <c r="E86" s="5">
        <f>YEAR(D86)</f>
        <v>2012</v>
      </c>
      <c r="F86">
        <v>0.41142045782077202</v>
      </c>
      <c r="G86" t="s">
        <v>174</v>
      </c>
      <c r="H86">
        <v>340911</v>
      </c>
      <c r="I86">
        <v>733631</v>
      </c>
      <c r="J86" t="s">
        <v>7</v>
      </c>
      <c r="K86" t="s">
        <v>36</v>
      </c>
      <c r="L86" t="s">
        <v>46</v>
      </c>
      <c r="M86" t="s">
        <v>9</v>
      </c>
      <c r="R86" t="s">
        <v>10</v>
      </c>
      <c r="S86" t="s">
        <v>11</v>
      </c>
      <c r="T86" t="s">
        <v>11</v>
      </c>
      <c r="U86">
        <v>12</v>
      </c>
      <c r="V86">
        <v>0</v>
      </c>
      <c r="W86">
        <v>0</v>
      </c>
      <c r="X86">
        <v>0</v>
      </c>
      <c r="Y86">
        <v>0</v>
      </c>
      <c r="Z86">
        <v>0</v>
      </c>
      <c r="AA86" s="1">
        <f>Z86/U86</f>
        <v>0</v>
      </c>
      <c r="AB86">
        <v>12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4114.20460510254</v>
      </c>
      <c r="AP86">
        <v>286.301731402087</v>
      </c>
    </row>
    <row r="87" spans="1:42" x14ac:dyDescent="0.25">
      <c r="A87">
        <v>132</v>
      </c>
      <c r="B87">
        <v>202206</v>
      </c>
      <c r="D87" s="4">
        <v>44337</v>
      </c>
      <c r="E87" s="5">
        <f>YEAR(D87)</f>
        <v>2021</v>
      </c>
      <c r="F87">
        <v>0.296646318331724</v>
      </c>
      <c r="G87" t="s">
        <v>482</v>
      </c>
      <c r="H87">
        <v>336681</v>
      </c>
      <c r="I87">
        <v>732054</v>
      </c>
      <c r="J87" t="s">
        <v>13</v>
      </c>
      <c r="K87" t="s">
        <v>14</v>
      </c>
      <c r="L87" t="s">
        <v>357</v>
      </c>
      <c r="M87" t="s">
        <v>41</v>
      </c>
      <c r="N87" t="s">
        <v>483</v>
      </c>
      <c r="O87" s="3">
        <v>44337</v>
      </c>
      <c r="P87" t="s">
        <v>359</v>
      </c>
      <c r="R87" t="s">
        <v>10</v>
      </c>
      <c r="S87" t="s">
        <v>11</v>
      </c>
      <c r="T87" t="s">
        <v>18</v>
      </c>
      <c r="U87">
        <v>12</v>
      </c>
      <c r="V87">
        <v>0</v>
      </c>
      <c r="W87">
        <v>0</v>
      </c>
      <c r="X87">
        <v>12</v>
      </c>
      <c r="Y87">
        <v>0</v>
      </c>
      <c r="Z87">
        <v>0</v>
      </c>
      <c r="AA87" s="1">
        <f>Z87/U87</f>
        <v>0</v>
      </c>
      <c r="AB87">
        <v>12</v>
      </c>
      <c r="AC87">
        <v>12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12</v>
      </c>
      <c r="AO87">
        <v>2966.4631958007799</v>
      </c>
      <c r="AP87">
        <v>307.91905093013901</v>
      </c>
    </row>
    <row r="88" spans="1:42" x14ac:dyDescent="0.25">
      <c r="A88">
        <v>181</v>
      </c>
      <c r="B88">
        <v>200719</v>
      </c>
      <c r="D88" s="4">
        <v>39164</v>
      </c>
      <c r="E88" s="5">
        <f>YEAR(D88)</f>
        <v>2007</v>
      </c>
      <c r="F88">
        <v>0.13557536590515701</v>
      </c>
      <c r="G88" t="s">
        <v>619</v>
      </c>
      <c r="H88">
        <v>347257</v>
      </c>
      <c r="I88">
        <v>730953</v>
      </c>
      <c r="J88" t="s">
        <v>13</v>
      </c>
      <c r="K88" t="s">
        <v>23</v>
      </c>
      <c r="L88" t="s">
        <v>620</v>
      </c>
      <c r="M88" t="s">
        <v>9</v>
      </c>
      <c r="N88" t="s">
        <v>621</v>
      </c>
      <c r="O88" s="3">
        <v>40672</v>
      </c>
      <c r="P88" t="s">
        <v>622</v>
      </c>
      <c r="Q88" s="3">
        <v>45351</v>
      </c>
      <c r="R88" t="s">
        <v>10</v>
      </c>
      <c r="S88" t="s">
        <v>11</v>
      </c>
      <c r="T88" t="s">
        <v>18</v>
      </c>
      <c r="U88">
        <v>11</v>
      </c>
      <c r="V88">
        <v>1</v>
      </c>
      <c r="W88">
        <v>0</v>
      </c>
      <c r="X88">
        <v>11</v>
      </c>
      <c r="Y88">
        <v>1</v>
      </c>
      <c r="Z88">
        <v>11</v>
      </c>
      <c r="AA88" s="1">
        <f>Z88/U88</f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1355.7536926269499</v>
      </c>
      <c r="AP88">
        <v>166.59080364381501</v>
      </c>
    </row>
    <row r="89" spans="1:42" x14ac:dyDescent="0.25">
      <c r="A89">
        <v>10</v>
      </c>
      <c r="B89">
        <v>201221</v>
      </c>
      <c r="C89" t="s">
        <v>47</v>
      </c>
      <c r="D89" s="4">
        <v>40912</v>
      </c>
      <c r="E89" s="5">
        <f>YEAR(D89)</f>
        <v>2012</v>
      </c>
      <c r="F89">
        <v>0.63833024999962495</v>
      </c>
      <c r="G89" t="s">
        <v>48</v>
      </c>
      <c r="H89">
        <v>341048</v>
      </c>
      <c r="I89">
        <v>733472</v>
      </c>
      <c r="J89" t="s">
        <v>13</v>
      </c>
      <c r="K89" t="s">
        <v>49</v>
      </c>
      <c r="L89" t="s">
        <v>46</v>
      </c>
      <c r="M89" t="s">
        <v>9</v>
      </c>
      <c r="R89" t="s">
        <v>10</v>
      </c>
      <c r="S89" t="s">
        <v>11</v>
      </c>
      <c r="T89" t="s">
        <v>11</v>
      </c>
      <c r="U89">
        <v>10</v>
      </c>
      <c r="V89">
        <v>0</v>
      </c>
      <c r="W89">
        <v>0</v>
      </c>
      <c r="X89">
        <v>0</v>
      </c>
      <c r="Y89">
        <v>0</v>
      </c>
      <c r="Z89">
        <v>0</v>
      </c>
      <c r="AA89" s="1">
        <f>Z89/U89</f>
        <v>0</v>
      </c>
      <c r="AB89">
        <v>10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10</v>
      </c>
      <c r="AN89">
        <v>10</v>
      </c>
      <c r="AO89">
        <v>6383.3025054931604</v>
      </c>
      <c r="AP89">
        <v>348.89127637139097</v>
      </c>
    </row>
    <row r="90" spans="1:42" x14ac:dyDescent="0.25">
      <c r="A90">
        <v>51</v>
      </c>
      <c r="B90">
        <v>201816</v>
      </c>
      <c r="C90" t="s">
        <v>183</v>
      </c>
      <c r="D90" s="4">
        <v>43104</v>
      </c>
      <c r="E90" s="5">
        <f>YEAR(D90)</f>
        <v>2018</v>
      </c>
      <c r="F90">
        <v>0.36187165469084098</v>
      </c>
      <c r="G90" t="s">
        <v>184</v>
      </c>
      <c r="H90">
        <v>337998</v>
      </c>
      <c r="I90">
        <v>731337</v>
      </c>
      <c r="J90" t="s">
        <v>13</v>
      </c>
      <c r="K90" t="s">
        <v>49</v>
      </c>
      <c r="L90" t="s">
        <v>46</v>
      </c>
      <c r="M90" t="s">
        <v>151</v>
      </c>
      <c r="R90" t="s">
        <v>10</v>
      </c>
      <c r="S90" t="s">
        <v>11</v>
      </c>
      <c r="T90" t="s">
        <v>11</v>
      </c>
      <c r="U90">
        <v>10</v>
      </c>
      <c r="V90">
        <v>0</v>
      </c>
      <c r="W90">
        <v>0</v>
      </c>
      <c r="X90">
        <v>0</v>
      </c>
      <c r="Y90">
        <v>0</v>
      </c>
      <c r="Z90">
        <v>0</v>
      </c>
      <c r="AA90" s="1">
        <f>Z90/U90</f>
        <v>0</v>
      </c>
      <c r="AB90">
        <v>10</v>
      </c>
      <c r="AC90">
        <v>0</v>
      </c>
      <c r="AD90">
        <v>10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10</v>
      </c>
      <c r="AO90">
        <v>3618.7165222168001</v>
      </c>
      <c r="AP90">
        <v>271.85956898459102</v>
      </c>
    </row>
    <row r="91" spans="1:42" x14ac:dyDescent="0.25">
      <c r="A91">
        <v>136</v>
      </c>
      <c r="B91">
        <v>202203</v>
      </c>
      <c r="D91" s="4">
        <v>44637</v>
      </c>
      <c r="E91" s="5">
        <f>YEAR(D91)</f>
        <v>2022</v>
      </c>
      <c r="F91">
        <v>3.9052615000385101E-2</v>
      </c>
      <c r="G91" t="s">
        <v>495</v>
      </c>
      <c r="H91">
        <v>339986</v>
      </c>
      <c r="I91">
        <v>730411</v>
      </c>
      <c r="J91" t="s">
        <v>13</v>
      </c>
      <c r="K91" t="s">
        <v>36</v>
      </c>
      <c r="L91" t="s">
        <v>8</v>
      </c>
      <c r="M91" t="s">
        <v>9</v>
      </c>
      <c r="N91" t="s">
        <v>496</v>
      </c>
      <c r="O91" s="3">
        <v>44637</v>
      </c>
      <c r="P91" t="s">
        <v>497</v>
      </c>
      <c r="R91" t="s">
        <v>10</v>
      </c>
      <c r="S91" t="s">
        <v>11</v>
      </c>
      <c r="T91" t="s">
        <v>18</v>
      </c>
      <c r="U91">
        <v>10</v>
      </c>
      <c r="V91">
        <v>0</v>
      </c>
      <c r="W91">
        <v>0</v>
      </c>
      <c r="X91">
        <v>10</v>
      </c>
      <c r="Y91">
        <v>0</v>
      </c>
      <c r="Z91">
        <v>0</v>
      </c>
      <c r="AA91" s="1">
        <f>Z91/U91</f>
        <v>0</v>
      </c>
      <c r="AB91">
        <v>10</v>
      </c>
      <c r="AC91">
        <v>0</v>
      </c>
      <c r="AD91">
        <v>10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10</v>
      </c>
      <c r="AO91">
        <v>390.52616882324202</v>
      </c>
      <c r="AP91">
        <v>85.887792635729397</v>
      </c>
    </row>
    <row r="92" spans="1:42" x14ac:dyDescent="0.25">
      <c r="A92">
        <v>99</v>
      </c>
      <c r="B92">
        <v>202068</v>
      </c>
      <c r="D92" s="4">
        <v>44182</v>
      </c>
      <c r="E92" s="5">
        <f>YEAR(D92)</f>
        <v>2020</v>
      </c>
      <c r="F92">
        <v>0.48089059674233497</v>
      </c>
      <c r="G92" t="s">
        <v>363</v>
      </c>
      <c r="H92">
        <v>336603</v>
      </c>
      <c r="I92">
        <v>731958</v>
      </c>
      <c r="J92" t="s">
        <v>13</v>
      </c>
      <c r="K92" t="s">
        <v>14</v>
      </c>
      <c r="L92" t="s">
        <v>357</v>
      </c>
      <c r="M92" t="s">
        <v>41</v>
      </c>
      <c r="N92" t="s">
        <v>364</v>
      </c>
      <c r="O92" s="3">
        <v>44182</v>
      </c>
      <c r="P92" t="s">
        <v>365</v>
      </c>
      <c r="R92" t="s">
        <v>10</v>
      </c>
      <c r="S92" t="s">
        <v>11</v>
      </c>
      <c r="T92" t="s">
        <v>18</v>
      </c>
      <c r="U92">
        <v>9</v>
      </c>
      <c r="V92">
        <v>0</v>
      </c>
      <c r="W92">
        <v>3</v>
      </c>
      <c r="X92">
        <v>6</v>
      </c>
      <c r="Y92">
        <v>0</v>
      </c>
      <c r="Z92">
        <v>0</v>
      </c>
      <c r="AA92" s="1">
        <f>Z92/U92</f>
        <v>0</v>
      </c>
      <c r="AB92">
        <v>9</v>
      </c>
      <c r="AC92">
        <v>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9</v>
      </c>
      <c r="AM92">
        <v>0</v>
      </c>
      <c r="AN92">
        <v>9</v>
      </c>
      <c r="AO92">
        <v>4808.9059295654297</v>
      </c>
      <c r="AP92">
        <v>435.25991047422701</v>
      </c>
    </row>
    <row r="93" spans="1:42" x14ac:dyDescent="0.25">
      <c r="A93">
        <v>133</v>
      </c>
      <c r="B93">
        <v>202108</v>
      </c>
      <c r="D93" s="4">
        <v>44307</v>
      </c>
      <c r="E93" s="5">
        <f>YEAR(D93)</f>
        <v>2021</v>
      </c>
      <c r="F93">
        <v>0.251144117700138</v>
      </c>
      <c r="G93" t="s">
        <v>484</v>
      </c>
      <c r="H93">
        <v>339151</v>
      </c>
      <c r="I93">
        <v>729525</v>
      </c>
      <c r="J93" t="s">
        <v>13</v>
      </c>
      <c r="K93" t="s">
        <v>14</v>
      </c>
      <c r="L93" t="s">
        <v>485</v>
      </c>
      <c r="M93" t="s">
        <v>9</v>
      </c>
      <c r="N93" t="s">
        <v>486</v>
      </c>
      <c r="O93" s="3">
        <v>44307</v>
      </c>
      <c r="P93" t="s">
        <v>487</v>
      </c>
      <c r="R93" t="s">
        <v>10</v>
      </c>
      <c r="S93" t="s">
        <v>11</v>
      </c>
      <c r="T93" t="s">
        <v>18</v>
      </c>
      <c r="U93">
        <v>9</v>
      </c>
      <c r="V93">
        <v>0</v>
      </c>
      <c r="W93">
        <v>5</v>
      </c>
      <c r="X93">
        <v>4</v>
      </c>
      <c r="Y93">
        <v>0</v>
      </c>
      <c r="Z93">
        <v>0</v>
      </c>
      <c r="AA93" s="1">
        <f>Z93/U93</f>
        <v>0</v>
      </c>
      <c r="AB93">
        <v>9</v>
      </c>
      <c r="AC93">
        <v>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9</v>
      </c>
      <c r="AO93">
        <v>2511.44117736816</v>
      </c>
      <c r="AP93">
        <v>457.71189751349198</v>
      </c>
    </row>
    <row r="94" spans="1:42" x14ac:dyDescent="0.25">
      <c r="A94">
        <v>7</v>
      </c>
      <c r="B94">
        <v>201102</v>
      </c>
      <c r="D94" s="4">
        <v>40533</v>
      </c>
      <c r="E94" s="5">
        <f>YEAR(D94)</f>
        <v>2010</v>
      </c>
      <c r="F94">
        <v>7.5769505000289006E-2</v>
      </c>
      <c r="G94" t="s">
        <v>35</v>
      </c>
      <c r="H94">
        <v>340858</v>
      </c>
      <c r="I94">
        <v>731298</v>
      </c>
      <c r="J94" t="s">
        <v>13</v>
      </c>
      <c r="K94" t="s">
        <v>36</v>
      </c>
      <c r="L94" t="s">
        <v>37</v>
      </c>
      <c r="M94" t="s">
        <v>9</v>
      </c>
      <c r="N94" t="s">
        <v>38</v>
      </c>
      <c r="O94" s="3">
        <v>45106</v>
      </c>
      <c r="R94" t="s">
        <v>10</v>
      </c>
      <c r="S94" t="s">
        <v>11</v>
      </c>
      <c r="T94" t="s">
        <v>18</v>
      </c>
      <c r="U94">
        <v>8</v>
      </c>
      <c r="V94">
        <v>0</v>
      </c>
      <c r="W94">
        <v>0</v>
      </c>
      <c r="X94">
        <v>8</v>
      </c>
      <c r="Y94">
        <v>0</v>
      </c>
      <c r="Z94">
        <v>0</v>
      </c>
      <c r="AA94" s="1">
        <f>Z94/U94</f>
        <v>0</v>
      </c>
      <c r="AB94">
        <v>8</v>
      </c>
      <c r="AC94">
        <v>0</v>
      </c>
      <c r="AD94">
        <v>0</v>
      </c>
      <c r="AE94">
        <v>8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8</v>
      </c>
      <c r="AO94">
        <v>757.69503784179699</v>
      </c>
      <c r="AP94">
        <v>137.992066754658</v>
      </c>
    </row>
    <row r="95" spans="1:42" x14ac:dyDescent="0.25">
      <c r="A95">
        <v>78</v>
      </c>
      <c r="B95">
        <v>202013</v>
      </c>
      <c r="D95" s="4">
        <v>43853</v>
      </c>
      <c r="E95" s="5">
        <f>YEAR(D95)</f>
        <v>2020</v>
      </c>
      <c r="F95">
        <v>0.213622512135589</v>
      </c>
      <c r="G95" t="s">
        <v>283</v>
      </c>
      <c r="H95">
        <v>336795</v>
      </c>
      <c r="I95">
        <v>731616</v>
      </c>
      <c r="J95" t="s">
        <v>13</v>
      </c>
      <c r="K95" t="s">
        <v>14</v>
      </c>
      <c r="L95" t="s">
        <v>284</v>
      </c>
      <c r="M95" t="s">
        <v>9</v>
      </c>
      <c r="N95" t="s">
        <v>285</v>
      </c>
      <c r="O95" s="3">
        <v>43853</v>
      </c>
      <c r="P95" t="s">
        <v>286</v>
      </c>
      <c r="R95" t="s">
        <v>10</v>
      </c>
      <c r="S95" t="s">
        <v>11</v>
      </c>
      <c r="T95" t="s">
        <v>18</v>
      </c>
      <c r="U95">
        <v>8</v>
      </c>
      <c r="V95">
        <v>0</v>
      </c>
      <c r="W95">
        <v>8</v>
      </c>
      <c r="X95">
        <v>0</v>
      </c>
      <c r="Y95">
        <v>0</v>
      </c>
      <c r="Z95">
        <v>0</v>
      </c>
      <c r="AA95" s="1">
        <f>Z95/U95</f>
        <v>0</v>
      </c>
      <c r="AB95">
        <v>8</v>
      </c>
      <c r="AC95">
        <v>4</v>
      </c>
      <c r="AD95">
        <v>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8</v>
      </c>
      <c r="AO95">
        <v>2136.2251586914099</v>
      </c>
      <c r="AP95">
        <v>187.853016491978</v>
      </c>
    </row>
    <row r="96" spans="1:42" x14ac:dyDescent="0.25">
      <c r="A96">
        <v>96</v>
      </c>
      <c r="B96">
        <v>202065</v>
      </c>
      <c r="D96" s="4">
        <v>44153</v>
      </c>
      <c r="E96" s="5">
        <f>YEAR(D96)</f>
        <v>2020</v>
      </c>
      <c r="F96">
        <v>0.26634557999645803</v>
      </c>
      <c r="G96" t="s">
        <v>353</v>
      </c>
      <c r="H96">
        <v>341769</v>
      </c>
      <c r="I96">
        <v>731399</v>
      </c>
      <c r="J96" t="s">
        <v>13</v>
      </c>
      <c r="K96" t="s">
        <v>36</v>
      </c>
      <c r="L96" t="s">
        <v>8</v>
      </c>
      <c r="M96" t="s">
        <v>9</v>
      </c>
      <c r="N96" t="s">
        <v>354</v>
      </c>
      <c r="O96" s="3">
        <v>44153</v>
      </c>
      <c r="P96" t="s">
        <v>355</v>
      </c>
      <c r="R96" t="s">
        <v>10</v>
      </c>
      <c r="S96" t="s">
        <v>11</v>
      </c>
      <c r="T96" t="s">
        <v>18</v>
      </c>
      <c r="U96">
        <v>8</v>
      </c>
      <c r="V96">
        <v>0</v>
      </c>
      <c r="W96">
        <v>8</v>
      </c>
      <c r="X96">
        <v>0</v>
      </c>
      <c r="Y96">
        <v>0</v>
      </c>
      <c r="Z96">
        <v>0</v>
      </c>
      <c r="AA96" s="1">
        <f>Z96/U96</f>
        <v>0</v>
      </c>
      <c r="AB96">
        <v>8</v>
      </c>
      <c r="AC96">
        <v>0</v>
      </c>
      <c r="AD96">
        <v>8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8</v>
      </c>
      <c r="AO96">
        <v>2663.4557800293001</v>
      </c>
      <c r="AP96">
        <v>209.27847061689999</v>
      </c>
    </row>
    <row r="97" spans="1:42" x14ac:dyDescent="0.25">
      <c r="A97">
        <v>149</v>
      </c>
      <c r="B97">
        <v>202310</v>
      </c>
      <c r="D97" s="4">
        <v>45201</v>
      </c>
      <c r="E97" s="5">
        <f>YEAR(D97)</f>
        <v>2023</v>
      </c>
      <c r="F97">
        <v>4.5363290410882898E-2</v>
      </c>
      <c r="G97" t="s">
        <v>529</v>
      </c>
      <c r="H97">
        <v>340567</v>
      </c>
      <c r="I97">
        <v>730409</v>
      </c>
      <c r="J97" t="s">
        <v>13</v>
      </c>
      <c r="K97" t="s">
        <v>36</v>
      </c>
      <c r="L97" t="s">
        <v>530</v>
      </c>
      <c r="M97" t="s">
        <v>9</v>
      </c>
      <c r="N97" t="s">
        <v>531</v>
      </c>
      <c r="O97" s="3">
        <v>45201</v>
      </c>
      <c r="R97" t="s">
        <v>10</v>
      </c>
      <c r="S97" t="s">
        <v>11</v>
      </c>
      <c r="T97" t="s">
        <v>18</v>
      </c>
      <c r="U97">
        <v>8</v>
      </c>
      <c r="V97">
        <v>0</v>
      </c>
      <c r="W97">
        <v>0</v>
      </c>
      <c r="X97">
        <v>8</v>
      </c>
      <c r="Y97">
        <v>0</v>
      </c>
      <c r="Z97">
        <v>0</v>
      </c>
      <c r="AA97" s="1">
        <f>Z97/U97</f>
        <v>0</v>
      </c>
      <c r="AB97">
        <v>8</v>
      </c>
      <c r="AC97">
        <v>0</v>
      </c>
      <c r="AD97">
        <v>0</v>
      </c>
      <c r="AE97">
        <v>8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8</v>
      </c>
      <c r="AO97">
        <v>453.63287353515602</v>
      </c>
      <c r="AP97">
        <v>87.197972336862193</v>
      </c>
    </row>
    <row r="98" spans="1:42" x14ac:dyDescent="0.25">
      <c r="A98">
        <v>154</v>
      </c>
      <c r="B98" t="s">
        <v>545</v>
      </c>
      <c r="C98" t="s">
        <v>291</v>
      </c>
      <c r="D98" s="4">
        <v>45015</v>
      </c>
      <c r="E98" s="5">
        <f>YEAR(D98)</f>
        <v>2023</v>
      </c>
      <c r="F98">
        <v>0.36088421383923203</v>
      </c>
      <c r="G98" t="s">
        <v>542</v>
      </c>
      <c r="H98">
        <v>343680</v>
      </c>
      <c r="I98">
        <v>733153</v>
      </c>
      <c r="J98" t="s">
        <v>13</v>
      </c>
      <c r="K98" t="s">
        <v>14</v>
      </c>
      <c r="L98" t="s">
        <v>239</v>
      </c>
      <c r="M98" t="s">
        <v>9</v>
      </c>
      <c r="N98" t="s">
        <v>546</v>
      </c>
      <c r="O98" s="3">
        <v>45015</v>
      </c>
      <c r="P98" t="s">
        <v>547</v>
      </c>
      <c r="R98" t="s">
        <v>10</v>
      </c>
      <c r="S98" t="s">
        <v>11</v>
      </c>
      <c r="T98" t="s">
        <v>11</v>
      </c>
      <c r="U98">
        <v>8</v>
      </c>
      <c r="V98">
        <v>0</v>
      </c>
      <c r="W98">
        <v>8</v>
      </c>
      <c r="X98">
        <v>0</v>
      </c>
      <c r="Y98">
        <v>0</v>
      </c>
      <c r="Z98">
        <v>0</v>
      </c>
      <c r="AA98" s="1">
        <f>Z98/U98</f>
        <v>0</v>
      </c>
      <c r="AB98">
        <v>8</v>
      </c>
      <c r="AC98">
        <v>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8</v>
      </c>
      <c r="AO98">
        <v>3608.8421173095699</v>
      </c>
      <c r="AP98">
        <v>249.57833775266801</v>
      </c>
    </row>
    <row r="99" spans="1:42" x14ac:dyDescent="0.25">
      <c r="A99">
        <v>167</v>
      </c>
      <c r="B99">
        <v>202322</v>
      </c>
      <c r="D99" s="4">
        <v>45270</v>
      </c>
      <c r="E99" s="5">
        <f>YEAR(D99)</f>
        <v>2023</v>
      </c>
      <c r="F99">
        <v>0.20269958204584801</v>
      </c>
      <c r="G99" t="s">
        <v>579</v>
      </c>
      <c r="H99">
        <v>339491</v>
      </c>
      <c r="I99">
        <v>731290</v>
      </c>
      <c r="J99" t="s">
        <v>13</v>
      </c>
      <c r="K99" t="s">
        <v>36</v>
      </c>
      <c r="L99" t="s">
        <v>580</v>
      </c>
      <c r="M99" t="s">
        <v>9</v>
      </c>
      <c r="N99" t="s">
        <v>581</v>
      </c>
      <c r="O99" s="3">
        <v>45270</v>
      </c>
      <c r="P99" t="s">
        <v>582</v>
      </c>
      <c r="R99" t="s">
        <v>10</v>
      </c>
      <c r="S99" t="s">
        <v>11</v>
      </c>
      <c r="T99" t="s">
        <v>18</v>
      </c>
      <c r="U99">
        <v>8</v>
      </c>
      <c r="V99">
        <v>0</v>
      </c>
      <c r="W99">
        <v>0</v>
      </c>
      <c r="X99">
        <v>8</v>
      </c>
      <c r="Y99">
        <v>0</v>
      </c>
      <c r="Z99">
        <v>0</v>
      </c>
      <c r="AA99" s="1">
        <f>Z99/U99</f>
        <v>0</v>
      </c>
      <c r="AB99">
        <v>8</v>
      </c>
      <c r="AC99">
        <v>0</v>
      </c>
      <c r="AD99">
        <v>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8</v>
      </c>
      <c r="AO99">
        <v>2026.99571228027</v>
      </c>
      <c r="AP99">
        <v>206.10395473259101</v>
      </c>
    </row>
    <row r="100" spans="1:42" x14ac:dyDescent="0.25">
      <c r="A100">
        <v>21</v>
      </c>
      <c r="B100">
        <v>201601</v>
      </c>
      <c r="D100" s="4">
        <v>42213</v>
      </c>
      <c r="E100" s="5">
        <f>YEAR(D100)</f>
        <v>2015</v>
      </c>
      <c r="F100">
        <v>0.19663273381101601</v>
      </c>
      <c r="G100" t="s">
        <v>89</v>
      </c>
      <c r="H100">
        <v>343984</v>
      </c>
      <c r="I100">
        <v>731379</v>
      </c>
      <c r="J100" t="s">
        <v>13</v>
      </c>
      <c r="K100" t="s">
        <v>23</v>
      </c>
      <c r="L100" t="s">
        <v>8</v>
      </c>
      <c r="M100" t="s">
        <v>9</v>
      </c>
      <c r="N100" t="s">
        <v>90</v>
      </c>
      <c r="O100" s="3">
        <v>43314</v>
      </c>
      <c r="P100" t="s">
        <v>91</v>
      </c>
      <c r="Q100" s="3">
        <v>45020</v>
      </c>
      <c r="R100" t="s">
        <v>10</v>
      </c>
      <c r="S100" t="s">
        <v>11</v>
      </c>
      <c r="T100" t="s">
        <v>18</v>
      </c>
      <c r="U100">
        <v>7</v>
      </c>
      <c r="V100">
        <v>0</v>
      </c>
      <c r="W100">
        <v>0</v>
      </c>
      <c r="X100">
        <v>7</v>
      </c>
      <c r="Y100">
        <v>7</v>
      </c>
      <c r="Z100">
        <v>7</v>
      </c>
      <c r="AA100" s="1">
        <f>Z100/U100</f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2</v>
      </c>
      <c r="AO100">
        <v>1966.3273010253899</v>
      </c>
      <c r="AP100">
        <v>232.51115493641399</v>
      </c>
    </row>
    <row r="101" spans="1:42" x14ac:dyDescent="0.25">
      <c r="A101">
        <v>93</v>
      </c>
      <c r="B101">
        <v>202055</v>
      </c>
      <c r="D101" s="4">
        <v>44277</v>
      </c>
      <c r="E101" s="5">
        <f>YEAR(D101)</f>
        <v>2021</v>
      </c>
      <c r="F101">
        <v>3.5304214700459399E-2</v>
      </c>
      <c r="G101" t="s">
        <v>341</v>
      </c>
      <c r="H101">
        <v>340729</v>
      </c>
      <c r="I101">
        <v>731660</v>
      </c>
      <c r="J101" t="s">
        <v>13</v>
      </c>
      <c r="K101" t="s">
        <v>98</v>
      </c>
      <c r="L101" t="s">
        <v>342</v>
      </c>
      <c r="M101" t="s">
        <v>9</v>
      </c>
      <c r="N101" t="s">
        <v>343</v>
      </c>
      <c r="O101" s="3">
        <v>44277</v>
      </c>
      <c r="Q101" s="3">
        <v>45373</v>
      </c>
      <c r="R101" t="s">
        <v>10</v>
      </c>
      <c r="S101" t="s">
        <v>11</v>
      </c>
      <c r="T101" t="s">
        <v>18</v>
      </c>
      <c r="U101">
        <v>7</v>
      </c>
      <c r="V101">
        <v>0</v>
      </c>
      <c r="W101">
        <v>0</v>
      </c>
      <c r="X101">
        <v>7</v>
      </c>
      <c r="Y101">
        <v>0</v>
      </c>
      <c r="Z101">
        <v>0</v>
      </c>
      <c r="AA101" s="1">
        <f>Z101/U101</f>
        <v>0</v>
      </c>
      <c r="AB101">
        <v>7</v>
      </c>
      <c r="AC101">
        <v>0</v>
      </c>
      <c r="AD101">
        <v>0</v>
      </c>
      <c r="AE101">
        <v>7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7</v>
      </c>
      <c r="AO101">
        <v>353.04216003417997</v>
      </c>
      <c r="AP101">
        <v>84.2363166550155</v>
      </c>
    </row>
    <row r="102" spans="1:42" x14ac:dyDescent="0.25">
      <c r="A102">
        <v>16</v>
      </c>
      <c r="B102">
        <v>201423</v>
      </c>
      <c r="D102" s="4">
        <v>42571</v>
      </c>
      <c r="E102" s="5">
        <f>YEAR(D102)</f>
        <v>2016</v>
      </c>
      <c r="F102">
        <v>1.00069791079977</v>
      </c>
      <c r="G102" t="s">
        <v>70</v>
      </c>
      <c r="H102">
        <v>345078</v>
      </c>
      <c r="I102">
        <v>733464</v>
      </c>
      <c r="J102" t="s">
        <v>13</v>
      </c>
      <c r="K102" t="s">
        <v>14</v>
      </c>
      <c r="L102" t="s">
        <v>71</v>
      </c>
      <c r="M102" t="s">
        <v>9</v>
      </c>
      <c r="N102" t="s">
        <v>72</v>
      </c>
      <c r="O102" s="3">
        <v>42571</v>
      </c>
      <c r="P102" t="s">
        <v>73</v>
      </c>
      <c r="R102" t="s">
        <v>74</v>
      </c>
      <c r="S102" t="s">
        <v>11</v>
      </c>
      <c r="T102" t="s">
        <v>18</v>
      </c>
      <c r="U102">
        <v>6</v>
      </c>
      <c r="V102">
        <v>0</v>
      </c>
      <c r="W102">
        <v>6</v>
      </c>
      <c r="X102">
        <v>0</v>
      </c>
      <c r="Y102">
        <v>0</v>
      </c>
      <c r="Z102">
        <v>0</v>
      </c>
      <c r="AA102" s="1">
        <f>Z102/U102</f>
        <v>0</v>
      </c>
      <c r="AB102">
        <v>6</v>
      </c>
      <c r="AC102">
        <v>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6</v>
      </c>
      <c r="AO102">
        <v>10006.979110717801</v>
      </c>
      <c r="AP102">
        <v>461.32029921374402</v>
      </c>
    </row>
    <row r="103" spans="1:42" x14ac:dyDescent="0.25">
      <c r="A103">
        <v>146</v>
      </c>
      <c r="B103">
        <v>202308</v>
      </c>
      <c r="D103" s="4">
        <v>44917</v>
      </c>
      <c r="E103" s="5">
        <f>YEAR(D103)</f>
        <v>2022</v>
      </c>
      <c r="F103">
        <v>0.306277677382916</v>
      </c>
      <c r="G103" t="s">
        <v>522</v>
      </c>
      <c r="H103">
        <v>337381</v>
      </c>
      <c r="I103">
        <v>730420</v>
      </c>
      <c r="J103" t="s">
        <v>13</v>
      </c>
      <c r="K103" t="s">
        <v>36</v>
      </c>
      <c r="L103" t="s">
        <v>8</v>
      </c>
      <c r="M103" t="s">
        <v>9</v>
      </c>
      <c r="N103" t="s">
        <v>523</v>
      </c>
      <c r="O103" s="3">
        <v>44917</v>
      </c>
      <c r="R103" t="s">
        <v>10</v>
      </c>
      <c r="S103" t="s">
        <v>11</v>
      </c>
      <c r="T103" t="s">
        <v>18</v>
      </c>
      <c r="U103">
        <v>5</v>
      </c>
      <c r="V103">
        <v>0</v>
      </c>
      <c r="W103">
        <v>5</v>
      </c>
      <c r="X103">
        <v>0</v>
      </c>
      <c r="Y103">
        <v>0</v>
      </c>
      <c r="Z103">
        <v>0</v>
      </c>
      <c r="AA103" s="1">
        <f>Z103/U103</f>
        <v>0</v>
      </c>
      <c r="AB103">
        <v>5</v>
      </c>
      <c r="AC103">
        <v>0</v>
      </c>
      <c r="AD103">
        <v>0</v>
      </c>
      <c r="AE103">
        <v>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5</v>
      </c>
      <c r="AO103">
        <v>3062.7767486572302</v>
      </c>
      <c r="AP103">
        <v>297.777371260005</v>
      </c>
    </row>
    <row r="104" spans="1:42" x14ac:dyDescent="0.25">
      <c r="A104">
        <v>147</v>
      </c>
      <c r="B104">
        <v>202309</v>
      </c>
      <c r="D104" s="4">
        <v>44917</v>
      </c>
      <c r="E104" s="5">
        <f>YEAR(D104)</f>
        <v>2022</v>
      </c>
      <c r="F104">
        <v>2.3789875000237999E-2</v>
      </c>
      <c r="G104" t="s">
        <v>524</v>
      </c>
      <c r="H104">
        <v>340168</v>
      </c>
      <c r="I104">
        <v>730930</v>
      </c>
      <c r="J104" t="s">
        <v>13</v>
      </c>
      <c r="K104" t="s">
        <v>36</v>
      </c>
      <c r="L104" t="s">
        <v>8</v>
      </c>
      <c r="M104" t="s">
        <v>9</v>
      </c>
      <c r="N104" t="s">
        <v>525</v>
      </c>
      <c r="O104" s="3">
        <v>44917</v>
      </c>
      <c r="R104" t="s">
        <v>10</v>
      </c>
      <c r="S104" t="s">
        <v>11</v>
      </c>
      <c r="T104" t="s">
        <v>18</v>
      </c>
      <c r="U104">
        <v>5</v>
      </c>
      <c r="V104">
        <v>0</v>
      </c>
      <c r="W104">
        <v>0</v>
      </c>
      <c r="X104">
        <v>5</v>
      </c>
      <c r="Y104">
        <v>0</v>
      </c>
      <c r="Z104">
        <v>0</v>
      </c>
      <c r="AA104" s="1">
        <f>Z104/U104</f>
        <v>0</v>
      </c>
      <c r="AB104">
        <v>5</v>
      </c>
      <c r="AC104">
        <v>0</v>
      </c>
      <c r="AD104">
        <v>0</v>
      </c>
      <c r="AE104">
        <v>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5</v>
      </c>
      <c r="AO104">
        <v>237.89874267578099</v>
      </c>
      <c r="AP104">
        <v>60.889559274126597</v>
      </c>
    </row>
    <row r="105" spans="1:42" x14ac:dyDescent="0.25">
      <c r="A105">
        <v>165</v>
      </c>
      <c r="B105">
        <v>202401</v>
      </c>
      <c r="D105" s="4">
        <v>45566</v>
      </c>
      <c r="E105" s="5">
        <f>YEAR(D105)</f>
        <v>2024</v>
      </c>
      <c r="F105">
        <v>0.23969794819395099</v>
      </c>
      <c r="G105" t="s">
        <v>575</v>
      </c>
      <c r="H105">
        <v>339852</v>
      </c>
      <c r="I105">
        <v>729813</v>
      </c>
      <c r="J105" t="s">
        <v>13</v>
      </c>
      <c r="K105" t="s">
        <v>36</v>
      </c>
      <c r="L105" t="s">
        <v>8</v>
      </c>
      <c r="M105" t="s">
        <v>9</v>
      </c>
      <c r="N105" t="s">
        <v>576</v>
      </c>
      <c r="O105" s="3">
        <v>45566</v>
      </c>
      <c r="R105" t="s">
        <v>10</v>
      </c>
      <c r="S105" t="s">
        <v>11</v>
      </c>
      <c r="T105" t="s">
        <v>18</v>
      </c>
      <c r="U105">
        <v>5</v>
      </c>
      <c r="V105">
        <v>0</v>
      </c>
      <c r="W105">
        <v>0</v>
      </c>
      <c r="X105">
        <v>5</v>
      </c>
      <c r="Y105">
        <v>0</v>
      </c>
      <c r="Z105">
        <v>0</v>
      </c>
      <c r="AA105" s="1">
        <f>Z105/U105</f>
        <v>0</v>
      </c>
      <c r="AB105">
        <v>5</v>
      </c>
      <c r="AC105">
        <v>0</v>
      </c>
      <c r="AD105">
        <v>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5</v>
      </c>
      <c r="AO105">
        <v>2396.9794921875</v>
      </c>
      <c r="AP105">
        <v>203.655498350035</v>
      </c>
    </row>
    <row r="106" spans="1:42" x14ac:dyDescent="0.25">
      <c r="A106">
        <v>94</v>
      </c>
      <c r="B106" t="s">
        <v>344</v>
      </c>
      <c r="D106" s="4">
        <v>44126</v>
      </c>
      <c r="E106" s="5">
        <f>YEAR(D106)</f>
        <v>2020</v>
      </c>
      <c r="F106">
        <v>0.224147459484833</v>
      </c>
      <c r="G106" t="s">
        <v>345</v>
      </c>
      <c r="H106">
        <v>341712</v>
      </c>
      <c r="I106">
        <v>731577</v>
      </c>
      <c r="J106" t="s">
        <v>13</v>
      </c>
      <c r="K106" t="s">
        <v>14</v>
      </c>
      <c r="L106" t="s">
        <v>346</v>
      </c>
      <c r="M106" t="s">
        <v>9</v>
      </c>
      <c r="N106" t="s">
        <v>347</v>
      </c>
      <c r="O106" s="3">
        <v>44126</v>
      </c>
      <c r="P106" t="s">
        <v>348</v>
      </c>
      <c r="R106" t="s">
        <v>10</v>
      </c>
      <c r="S106" t="s">
        <v>11</v>
      </c>
      <c r="T106" t="s">
        <v>18</v>
      </c>
      <c r="U106">
        <v>4</v>
      </c>
      <c r="V106">
        <v>0</v>
      </c>
      <c r="W106">
        <v>1</v>
      </c>
      <c r="X106">
        <v>3</v>
      </c>
      <c r="Y106">
        <v>0</v>
      </c>
      <c r="Z106">
        <v>0</v>
      </c>
      <c r="AA106" s="1">
        <f>Z106/U106</f>
        <v>0</v>
      </c>
      <c r="AB106">
        <v>4</v>
      </c>
      <c r="AC106">
        <v>0</v>
      </c>
      <c r="AD106">
        <v>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4</v>
      </c>
      <c r="AO106">
        <v>2241.47459411621</v>
      </c>
      <c r="AP106">
        <v>193.22175277864801</v>
      </c>
    </row>
    <row r="107" spans="1:42" x14ac:dyDescent="0.25">
      <c r="A107">
        <v>107</v>
      </c>
      <c r="B107" t="s">
        <v>392</v>
      </c>
      <c r="D107" s="4">
        <v>43839</v>
      </c>
      <c r="E107" s="5">
        <f>YEAR(D107)</f>
        <v>2020</v>
      </c>
      <c r="F107">
        <v>0.207923235688383</v>
      </c>
      <c r="G107" t="s">
        <v>393</v>
      </c>
      <c r="H107">
        <v>344602</v>
      </c>
      <c r="I107">
        <v>731449</v>
      </c>
      <c r="J107" t="s">
        <v>13</v>
      </c>
      <c r="K107" t="s">
        <v>14</v>
      </c>
      <c r="L107" t="s">
        <v>394</v>
      </c>
      <c r="M107" t="s">
        <v>9</v>
      </c>
      <c r="N107" t="s">
        <v>395</v>
      </c>
      <c r="O107" s="3">
        <v>44511</v>
      </c>
      <c r="P107" t="s">
        <v>396</v>
      </c>
      <c r="R107" t="s">
        <v>10</v>
      </c>
      <c r="S107" t="s">
        <v>11</v>
      </c>
      <c r="T107" t="s">
        <v>18</v>
      </c>
      <c r="U107">
        <v>4</v>
      </c>
      <c r="V107">
        <v>0</v>
      </c>
      <c r="W107">
        <v>0</v>
      </c>
      <c r="X107">
        <v>4</v>
      </c>
      <c r="Y107">
        <v>1</v>
      </c>
      <c r="Z107">
        <v>1</v>
      </c>
      <c r="AA107" s="1">
        <f>Z107/U107</f>
        <v>0.25</v>
      </c>
      <c r="AB107">
        <v>3</v>
      </c>
      <c r="AC107">
        <v>4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3</v>
      </c>
      <c r="AO107">
        <v>2079.2323455810501</v>
      </c>
      <c r="AP107">
        <v>206.96526268647301</v>
      </c>
    </row>
    <row r="108" spans="1:42" x14ac:dyDescent="0.25">
      <c r="A108">
        <v>122</v>
      </c>
      <c r="B108" t="s">
        <v>448</v>
      </c>
      <c r="D108" s="4">
        <v>44207</v>
      </c>
      <c r="E108" s="5">
        <f>YEAR(D108)</f>
        <v>2021</v>
      </c>
      <c r="F108">
        <v>1.0331293539355401E-2</v>
      </c>
      <c r="G108" t="s">
        <v>449</v>
      </c>
      <c r="H108">
        <v>340245</v>
      </c>
      <c r="I108">
        <v>730375</v>
      </c>
      <c r="J108" t="s">
        <v>13</v>
      </c>
      <c r="K108" t="s">
        <v>36</v>
      </c>
      <c r="L108" t="s">
        <v>8</v>
      </c>
      <c r="M108" t="s">
        <v>9</v>
      </c>
      <c r="N108" t="s">
        <v>450</v>
      </c>
      <c r="O108" s="3">
        <v>44518</v>
      </c>
      <c r="R108" t="s">
        <v>10</v>
      </c>
      <c r="S108" t="s">
        <v>11</v>
      </c>
      <c r="T108" t="s">
        <v>18</v>
      </c>
      <c r="U108">
        <v>4</v>
      </c>
      <c r="V108">
        <v>0</v>
      </c>
      <c r="W108">
        <v>0</v>
      </c>
      <c r="X108">
        <v>4</v>
      </c>
      <c r="Y108">
        <v>0</v>
      </c>
      <c r="Z108">
        <v>0</v>
      </c>
      <c r="AA108" s="1">
        <f>Z108/U108</f>
        <v>0</v>
      </c>
      <c r="AB108">
        <v>4</v>
      </c>
      <c r="AC108">
        <v>4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4</v>
      </c>
      <c r="AO108">
        <v>103.312911987305</v>
      </c>
      <c r="AP108">
        <v>42.185908947991699</v>
      </c>
    </row>
    <row r="109" spans="1:42" x14ac:dyDescent="0.25">
      <c r="A109">
        <v>155</v>
      </c>
      <c r="B109">
        <v>202319</v>
      </c>
      <c r="D109" s="4">
        <v>45207</v>
      </c>
      <c r="E109" s="5">
        <f>YEAR(D109)</f>
        <v>2023</v>
      </c>
      <c r="F109">
        <v>0.21218790143166799</v>
      </c>
      <c r="G109" t="s">
        <v>548</v>
      </c>
      <c r="H109">
        <v>336880</v>
      </c>
      <c r="I109">
        <v>731887</v>
      </c>
      <c r="J109" t="s">
        <v>13</v>
      </c>
      <c r="K109" t="s">
        <v>36</v>
      </c>
      <c r="L109" t="s">
        <v>15</v>
      </c>
      <c r="M109" t="s">
        <v>9</v>
      </c>
      <c r="N109" t="s">
        <v>549</v>
      </c>
      <c r="O109" s="3">
        <v>45207</v>
      </c>
      <c r="R109" t="s">
        <v>10</v>
      </c>
      <c r="S109" t="s">
        <v>11</v>
      </c>
      <c r="T109" t="s">
        <v>18</v>
      </c>
      <c r="U109">
        <v>4</v>
      </c>
      <c r="V109">
        <v>0</v>
      </c>
      <c r="W109">
        <v>4</v>
      </c>
      <c r="X109">
        <v>0</v>
      </c>
      <c r="Y109">
        <v>0</v>
      </c>
      <c r="Z109">
        <v>0</v>
      </c>
      <c r="AA109" s="1">
        <f>Z109/U109</f>
        <v>0</v>
      </c>
      <c r="AB109">
        <v>4</v>
      </c>
      <c r="AC109">
        <v>0</v>
      </c>
      <c r="AD109">
        <v>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4</v>
      </c>
      <c r="AO109">
        <v>2121.8789825439499</v>
      </c>
      <c r="AP109">
        <v>319.03849588300102</v>
      </c>
    </row>
    <row r="110" spans="1:42" x14ac:dyDescent="0.25">
      <c r="A110">
        <v>182</v>
      </c>
      <c r="B110">
        <v>201506</v>
      </c>
      <c r="C110" t="s">
        <v>623</v>
      </c>
      <c r="D110" s="4">
        <v>42833</v>
      </c>
      <c r="E110" s="5">
        <f>YEAR(D110)</f>
        <v>2017</v>
      </c>
      <c r="F110">
        <v>0.124914262999922</v>
      </c>
      <c r="G110" t="s">
        <v>624</v>
      </c>
      <c r="H110">
        <v>340818</v>
      </c>
      <c r="I110">
        <v>733650</v>
      </c>
      <c r="J110" t="s">
        <v>13</v>
      </c>
      <c r="K110" t="s">
        <v>23</v>
      </c>
      <c r="L110" t="s">
        <v>625</v>
      </c>
      <c r="M110" t="s">
        <v>9</v>
      </c>
      <c r="N110" t="s">
        <v>626</v>
      </c>
      <c r="O110" s="3">
        <v>42833</v>
      </c>
      <c r="P110" t="s">
        <v>627</v>
      </c>
      <c r="Q110" s="3">
        <v>45069</v>
      </c>
      <c r="R110" t="s">
        <v>10</v>
      </c>
      <c r="S110" t="s">
        <v>11</v>
      </c>
      <c r="T110" t="s">
        <v>18</v>
      </c>
      <c r="U110">
        <v>4</v>
      </c>
      <c r="V110">
        <v>0</v>
      </c>
      <c r="W110">
        <v>4</v>
      </c>
      <c r="X110">
        <v>0</v>
      </c>
      <c r="Y110">
        <v>4</v>
      </c>
      <c r="Z110">
        <v>4</v>
      </c>
      <c r="AA110" s="1">
        <f>Z110/U110</f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1249.1426544189501</v>
      </c>
      <c r="AP110">
        <v>155.89783361241501</v>
      </c>
    </row>
    <row r="111" spans="1:42" x14ac:dyDescent="0.25">
      <c r="A111">
        <v>32</v>
      </c>
      <c r="B111" t="s">
        <v>131</v>
      </c>
      <c r="D111" s="4">
        <v>43054</v>
      </c>
      <c r="E111" s="5">
        <f>YEAR(D111)</f>
        <v>2017</v>
      </c>
      <c r="F111">
        <v>3.8505836609149503E-2</v>
      </c>
      <c r="G111" t="s">
        <v>132</v>
      </c>
      <c r="H111">
        <v>341072</v>
      </c>
      <c r="I111">
        <v>730954</v>
      </c>
      <c r="J111" t="s">
        <v>56</v>
      </c>
      <c r="K111" t="s">
        <v>14</v>
      </c>
      <c r="L111" t="s">
        <v>8</v>
      </c>
      <c r="M111" t="s">
        <v>9</v>
      </c>
      <c r="N111" t="s">
        <v>133</v>
      </c>
      <c r="O111" s="3">
        <v>43054</v>
      </c>
      <c r="P111" t="s">
        <v>134</v>
      </c>
      <c r="R111" t="s">
        <v>10</v>
      </c>
      <c r="S111" t="s">
        <v>11</v>
      </c>
      <c r="T111" t="s">
        <v>18</v>
      </c>
      <c r="U111">
        <v>3</v>
      </c>
      <c r="V111">
        <v>0</v>
      </c>
      <c r="W111">
        <v>0</v>
      </c>
      <c r="X111">
        <v>3</v>
      </c>
      <c r="Y111">
        <v>0</v>
      </c>
      <c r="Z111">
        <v>0</v>
      </c>
      <c r="AA111" s="1">
        <f>Z111/U111</f>
        <v>0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385.05841064453102</v>
      </c>
      <c r="AP111">
        <v>104.34420942035</v>
      </c>
    </row>
    <row r="112" spans="1:42" x14ac:dyDescent="0.25">
      <c r="A112">
        <v>86</v>
      </c>
      <c r="B112" t="s">
        <v>314</v>
      </c>
      <c r="D112" s="4">
        <v>44147</v>
      </c>
      <c r="E112" s="5">
        <f>YEAR(D112)</f>
        <v>2020</v>
      </c>
      <c r="F112">
        <v>1.81250479123202E-2</v>
      </c>
      <c r="G112" t="s">
        <v>315</v>
      </c>
      <c r="H112">
        <v>340421</v>
      </c>
      <c r="I112">
        <v>730459</v>
      </c>
      <c r="J112" t="s">
        <v>56</v>
      </c>
      <c r="K112" t="s">
        <v>14</v>
      </c>
      <c r="L112" t="s">
        <v>316</v>
      </c>
      <c r="M112" t="s">
        <v>9</v>
      </c>
      <c r="N112" t="s">
        <v>317</v>
      </c>
      <c r="O112" s="3">
        <v>44147</v>
      </c>
      <c r="P112" t="s">
        <v>318</v>
      </c>
      <c r="R112" t="s">
        <v>10</v>
      </c>
      <c r="S112" t="s">
        <v>11</v>
      </c>
      <c r="T112" t="s">
        <v>18</v>
      </c>
      <c r="U112">
        <v>3</v>
      </c>
      <c r="V112">
        <v>0</v>
      </c>
      <c r="W112">
        <v>0</v>
      </c>
      <c r="X112">
        <v>3</v>
      </c>
      <c r="Y112">
        <v>0</v>
      </c>
      <c r="Z112">
        <v>0</v>
      </c>
      <c r="AA112" s="1">
        <f>Z112/U112</f>
        <v>0</v>
      </c>
      <c r="AB112">
        <v>3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181.25053405761699</v>
      </c>
      <c r="AP112">
        <v>68.904840723583206</v>
      </c>
    </row>
    <row r="113" spans="1:42" x14ac:dyDescent="0.25">
      <c r="A113">
        <v>92</v>
      </c>
      <c r="B113" t="s">
        <v>338</v>
      </c>
      <c r="D113" s="4">
        <v>44442</v>
      </c>
      <c r="E113" s="5">
        <f>YEAR(D113)</f>
        <v>2021</v>
      </c>
      <c r="F113">
        <v>8.0351901400473699E-2</v>
      </c>
      <c r="G113" t="s">
        <v>339</v>
      </c>
      <c r="H113">
        <v>340006</v>
      </c>
      <c r="I113">
        <v>730465</v>
      </c>
      <c r="J113" t="s">
        <v>56</v>
      </c>
      <c r="K113" t="s">
        <v>98</v>
      </c>
      <c r="L113" t="s">
        <v>8</v>
      </c>
      <c r="M113" t="s">
        <v>9</v>
      </c>
      <c r="N113" t="s">
        <v>340</v>
      </c>
      <c r="O113" s="3">
        <v>44442</v>
      </c>
      <c r="Q113" s="3">
        <v>45538</v>
      </c>
      <c r="R113" t="s">
        <v>10</v>
      </c>
      <c r="S113" t="s">
        <v>11</v>
      </c>
      <c r="T113" t="s">
        <v>18</v>
      </c>
      <c r="U113">
        <v>3</v>
      </c>
      <c r="V113">
        <v>0</v>
      </c>
      <c r="W113">
        <v>0</v>
      </c>
      <c r="X113">
        <v>3</v>
      </c>
      <c r="Y113">
        <v>0</v>
      </c>
      <c r="Z113">
        <v>0</v>
      </c>
      <c r="AA113" s="1">
        <f>Z113/U113</f>
        <v>0</v>
      </c>
      <c r="AB113">
        <v>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803.51901245117199</v>
      </c>
      <c r="AP113">
        <v>126.711214753731</v>
      </c>
    </row>
    <row r="114" spans="1:42" x14ac:dyDescent="0.25">
      <c r="A114">
        <v>102</v>
      </c>
      <c r="B114" t="s">
        <v>374</v>
      </c>
      <c r="D114" s="4">
        <v>44007</v>
      </c>
      <c r="E114" s="5">
        <f>YEAR(D114)</f>
        <v>2020</v>
      </c>
      <c r="F114">
        <v>0.96804277228059699</v>
      </c>
      <c r="G114" t="s">
        <v>375</v>
      </c>
      <c r="H114">
        <v>345373</v>
      </c>
      <c r="I114">
        <v>731349</v>
      </c>
      <c r="J114" t="s">
        <v>56</v>
      </c>
      <c r="K114" t="s">
        <v>98</v>
      </c>
      <c r="L114" t="s">
        <v>8</v>
      </c>
      <c r="M114" t="s">
        <v>9</v>
      </c>
      <c r="N114" t="s">
        <v>376</v>
      </c>
      <c r="O114" s="3">
        <v>44007</v>
      </c>
      <c r="Q114" s="3">
        <v>45102</v>
      </c>
      <c r="R114" t="s">
        <v>10</v>
      </c>
      <c r="S114" t="s">
        <v>11</v>
      </c>
      <c r="T114" t="s">
        <v>18</v>
      </c>
      <c r="U114">
        <v>3</v>
      </c>
      <c r="V114">
        <v>0</v>
      </c>
      <c r="W114">
        <v>0</v>
      </c>
      <c r="X114">
        <v>3</v>
      </c>
      <c r="Y114">
        <v>0</v>
      </c>
      <c r="Z114">
        <v>0</v>
      </c>
      <c r="AA114" s="1">
        <f>Z114/U114</f>
        <v>0</v>
      </c>
      <c r="AB114">
        <v>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9680.4278106689508</v>
      </c>
      <c r="AP114">
        <v>498.38201909701303</v>
      </c>
    </row>
    <row r="115" spans="1:42" x14ac:dyDescent="0.25">
      <c r="A115">
        <v>28</v>
      </c>
      <c r="B115" t="s">
        <v>117</v>
      </c>
      <c r="D115" s="4">
        <v>43074</v>
      </c>
      <c r="E115" s="5">
        <f>YEAR(D115)</f>
        <v>2017</v>
      </c>
      <c r="F115">
        <v>0.10674632254847299</v>
      </c>
      <c r="G115" t="s">
        <v>118</v>
      </c>
      <c r="H115">
        <v>347338</v>
      </c>
      <c r="I115">
        <v>731179</v>
      </c>
      <c r="J115" t="s">
        <v>56</v>
      </c>
      <c r="K115" t="s">
        <v>14</v>
      </c>
      <c r="L115" t="s">
        <v>8</v>
      </c>
      <c r="M115" t="s">
        <v>9</v>
      </c>
      <c r="N115" t="s">
        <v>119</v>
      </c>
      <c r="O115" s="3">
        <v>43074</v>
      </c>
      <c r="P115" t="s">
        <v>120</v>
      </c>
      <c r="R115" t="s">
        <v>10</v>
      </c>
      <c r="S115" t="s">
        <v>11</v>
      </c>
      <c r="T115" t="s">
        <v>18</v>
      </c>
      <c r="U115">
        <v>2</v>
      </c>
      <c r="V115">
        <v>0</v>
      </c>
      <c r="W115">
        <v>2</v>
      </c>
      <c r="X115">
        <v>0</v>
      </c>
      <c r="Y115">
        <v>0</v>
      </c>
      <c r="Z115">
        <v>0</v>
      </c>
      <c r="AA115" s="1">
        <f>Z115/U115</f>
        <v>0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1067.4632110595701</v>
      </c>
      <c r="AP115">
        <v>147.658654523536</v>
      </c>
    </row>
    <row r="116" spans="1:42" x14ac:dyDescent="0.25">
      <c r="A116">
        <v>67</v>
      </c>
      <c r="B116" t="s">
        <v>242</v>
      </c>
      <c r="D116" s="4">
        <v>43260</v>
      </c>
      <c r="E116" s="5">
        <f>YEAR(D116)</f>
        <v>2018</v>
      </c>
      <c r="F116">
        <v>2.1745650000687101E-2</v>
      </c>
      <c r="G116" t="s">
        <v>243</v>
      </c>
      <c r="H116">
        <v>340324</v>
      </c>
      <c r="I116">
        <v>730464</v>
      </c>
      <c r="J116" t="s">
        <v>56</v>
      </c>
      <c r="K116" t="s">
        <v>23</v>
      </c>
      <c r="L116" t="s">
        <v>8</v>
      </c>
      <c r="M116" t="s">
        <v>9</v>
      </c>
      <c r="N116" t="s">
        <v>244</v>
      </c>
      <c r="O116" s="3">
        <v>43260</v>
      </c>
      <c r="P116" t="s">
        <v>245</v>
      </c>
      <c r="Q116" s="3">
        <v>45264</v>
      </c>
      <c r="R116" t="s">
        <v>10</v>
      </c>
      <c r="S116" t="s">
        <v>11</v>
      </c>
      <c r="T116" t="s">
        <v>18</v>
      </c>
      <c r="U116">
        <v>2</v>
      </c>
      <c r="V116">
        <v>0</v>
      </c>
      <c r="W116">
        <v>0</v>
      </c>
      <c r="X116">
        <v>2</v>
      </c>
      <c r="Y116">
        <v>2</v>
      </c>
      <c r="Z116">
        <v>2</v>
      </c>
      <c r="AA116" s="1">
        <f>Z116/U116</f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2</v>
      </c>
      <c r="AO116">
        <v>217.45651245117199</v>
      </c>
      <c r="AP116">
        <v>69.170311023413802</v>
      </c>
    </row>
    <row r="117" spans="1:42" x14ac:dyDescent="0.25">
      <c r="A117">
        <v>76</v>
      </c>
      <c r="B117" t="s">
        <v>275</v>
      </c>
      <c r="D117" s="4">
        <v>43763</v>
      </c>
      <c r="E117" s="5">
        <f>YEAR(D117)</f>
        <v>2019</v>
      </c>
      <c r="F117">
        <v>0.21775256961235401</v>
      </c>
      <c r="G117" t="s">
        <v>70</v>
      </c>
      <c r="H117">
        <v>345105</v>
      </c>
      <c r="I117">
        <v>733477</v>
      </c>
      <c r="J117" t="s">
        <v>56</v>
      </c>
      <c r="K117" t="s">
        <v>23</v>
      </c>
      <c r="L117" t="s">
        <v>276</v>
      </c>
      <c r="M117" t="s">
        <v>9</v>
      </c>
      <c r="N117" t="s">
        <v>277</v>
      </c>
      <c r="O117" s="3">
        <v>44965</v>
      </c>
      <c r="P117" t="s">
        <v>278</v>
      </c>
      <c r="Q117" s="3">
        <v>45376</v>
      </c>
      <c r="R117" t="s">
        <v>10</v>
      </c>
      <c r="S117" t="s">
        <v>11</v>
      </c>
      <c r="T117" t="s">
        <v>18</v>
      </c>
      <c r="U117">
        <v>2</v>
      </c>
      <c r="V117">
        <v>0</v>
      </c>
      <c r="W117">
        <v>2</v>
      </c>
      <c r="X117">
        <v>0</v>
      </c>
      <c r="Y117">
        <v>2</v>
      </c>
      <c r="Z117">
        <v>2</v>
      </c>
      <c r="AA117" s="1">
        <f>Z117/U117</f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2177.5257110595699</v>
      </c>
      <c r="AP117">
        <v>337.68496804228698</v>
      </c>
    </row>
    <row r="118" spans="1:42" x14ac:dyDescent="0.25">
      <c r="A118">
        <v>84</v>
      </c>
      <c r="B118">
        <v>202043</v>
      </c>
      <c r="D118" s="4">
        <v>43993</v>
      </c>
      <c r="E118" s="5">
        <f>YEAR(D118)</f>
        <v>2020</v>
      </c>
      <c r="F118">
        <v>1.28917955028999E-2</v>
      </c>
      <c r="G118" t="s">
        <v>307</v>
      </c>
      <c r="H118">
        <v>346017</v>
      </c>
      <c r="I118">
        <v>730834</v>
      </c>
      <c r="J118" t="s">
        <v>56</v>
      </c>
      <c r="K118" t="s">
        <v>36</v>
      </c>
      <c r="L118" t="s">
        <v>8</v>
      </c>
      <c r="M118" t="s">
        <v>9</v>
      </c>
      <c r="N118" t="s">
        <v>308</v>
      </c>
      <c r="O118" s="3">
        <v>44883</v>
      </c>
      <c r="R118" t="s">
        <v>10</v>
      </c>
      <c r="S118" t="s">
        <v>11</v>
      </c>
      <c r="T118" t="s">
        <v>18</v>
      </c>
      <c r="U118">
        <v>2</v>
      </c>
      <c r="V118">
        <v>0</v>
      </c>
      <c r="W118">
        <v>0</v>
      </c>
      <c r="X118">
        <v>2</v>
      </c>
      <c r="Y118">
        <v>0</v>
      </c>
      <c r="Z118">
        <v>0</v>
      </c>
      <c r="AA118" s="1">
        <f>Z118/U118</f>
        <v>0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128.91795349121099</v>
      </c>
      <c r="AP118">
        <v>48.137243119111503</v>
      </c>
    </row>
    <row r="119" spans="1:42" x14ac:dyDescent="0.25">
      <c r="A119">
        <v>103</v>
      </c>
      <c r="B119" t="s">
        <v>377</v>
      </c>
      <c r="D119" s="4">
        <v>44007</v>
      </c>
      <c r="E119" s="5">
        <f>YEAR(D119)</f>
        <v>2020</v>
      </c>
      <c r="F119">
        <v>0.115366251282605</v>
      </c>
      <c r="G119" t="s">
        <v>378</v>
      </c>
      <c r="H119">
        <v>344896</v>
      </c>
      <c r="I119">
        <v>731442</v>
      </c>
      <c r="J119" t="s">
        <v>56</v>
      </c>
      <c r="K119" t="s">
        <v>23</v>
      </c>
      <c r="L119" t="s">
        <v>8</v>
      </c>
      <c r="M119" t="s">
        <v>9</v>
      </c>
      <c r="N119" t="s">
        <v>379</v>
      </c>
      <c r="O119" s="3">
        <v>44007</v>
      </c>
      <c r="P119" t="s">
        <v>380</v>
      </c>
      <c r="Q119" s="3">
        <v>45155</v>
      </c>
      <c r="R119" t="s">
        <v>10</v>
      </c>
      <c r="S119" t="s">
        <v>11</v>
      </c>
      <c r="T119" t="s">
        <v>18</v>
      </c>
      <c r="U119">
        <v>2</v>
      </c>
      <c r="V119">
        <v>0</v>
      </c>
      <c r="W119">
        <v>0</v>
      </c>
      <c r="X119">
        <v>2</v>
      </c>
      <c r="Y119">
        <v>2</v>
      </c>
      <c r="Z119">
        <v>2</v>
      </c>
      <c r="AA119" s="1">
        <f>Z119/U119</f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2</v>
      </c>
      <c r="AO119">
        <v>1153.6625518798801</v>
      </c>
      <c r="AP119">
        <v>180.68104904253201</v>
      </c>
    </row>
    <row r="120" spans="1:42" x14ac:dyDescent="0.25">
      <c r="A120">
        <v>105</v>
      </c>
      <c r="B120">
        <v>202031</v>
      </c>
      <c r="D120" s="4">
        <v>44043</v>
      </c>
      <c r="E120" s="5">
        <f>YEAR(D120)</f>
        <v>2020</v>
      </c>
      <c r="F120">
        <v>0.21123085345040499</v>
      </c>
      <c r="G120" t="s">
        <v>70</v>
      </c>
      <c r="H120">
        <v>345088</v>
      </c>
      <c r="I120">
        <v>733487</v>
      </c>
      <c r="J120" t="s">
        <v>56</v>
      </c>
      <c r="K120" t="s">
        <v>14</v>
      </c>
      <c r="L120" t="s">
        <v>385</v>
      </c>
      <c r="M120" t="s">
        <v>9</v>
      </c>
      <c r="N120" t="s">
        <v>386</v>
      </c>
      <c r="O120" s="3">
        <v>44043</v>
      </c>
      <c r="P120" t="s">
        <v>387</v>
      </c>
      <c r="R120" t="s">
        <v>10</v>
      </c>
      <c r="S120" t="s">
        <v>11</v>
      </c>
      <c r="T120" t="s">
        <v>18</v>
      </c>
      <c r="U120">
        <v>2</v>
      </c>
      <c r="V120">
        <v>0</v>
      </c>
      <c r="W120">
        <v>2</v>
      </c>
      <c r="X120">
        <v>0</v>
      </c>
      <c r="Y120">
        <v>0</v>
      </c>
      <c r="Z120">
        <v>0</v>
      </c>
      <c r="AA120" s="1">
        <f>Z120/U120</f>
        <v>0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2112.3085021972702</v>
      </c>
      <c r="AP120">
        <v>402.722166074521</v>
      </c>
    </row>
    <row r="121" spans="1:42" x14ac:dyDescent="0.25">
      <c r="A121">
        <v>108</v>
      </c>
      <c r="B121" t="s">
        <v>397</v>
      </c>
      <c r="D121" s="4">
        <v>43870</v>
      </c>
      <c r="E121" s="5">
        <f>YEAR(D121)</f>
        <v>2020</v>
      </c>
      <c r="F121">
        <v>0.20667291849800601</v>
      </c>
      <c r="G121" t="s">
        <v>393</v>
      </c>
      <c r="H121">
        <v>344619</v>
      </c>
      <c r="I121">
        <v>731407</v>
      </c>
      <c r="J121" t="s">
        <v>56</v>
      </c>
      <c r="K121" t="s">
        <v>23</v>
      </c>
      <c r="L121" t="s">
        <v>394</v>
      </c>
      <c r="M121" t="s">
        <v>9</v>
      </c>
      <c r="N121" t="s">
        <v>398</v>
      </c>
      <c r="O121" s="3">
        <v>44771</v>
      </c>
      <c r="P121" t="s">
        <v>399</v>
      </c>
      <c r="Q121" s="3">
        <v>45020</v>
      </c>
      <c r="R121" t="s">
        <v>10</v>
      </c>
      <c r="S121" t="s">
        <v>11</v>
      </c>
      <c r="T121" t="s">
        <v>18</v>
      </c>
      <c r="U121">
        <v>2</v>
      </c>
      <c r="V121">
        <v>0</v>
      </c>
      <c r="W121">
        <v>2</v>
      </c>
      <c r="X121">
        <v>0</v>
      </c>
      <c r="Y121">
        <v>1</v>
      </c>
      <c r="Z121">
        <v>2</v>
      </c>
      <c r="AA121" s="1">
        <f>Z121/U121</f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2066.7292175293001</v>
      </c>
      <c r="AP121">
        <v>193.81277426855601</v>
      </c>
    </row>
    <row r="122" spans="1:42" x14ac:dyDescent="0.25">
      <c r="A122">
        <v>119</v>
      </c>
      <c r="B122" t="s">
        <v>436</v>
      </c>
      <c r="D122" s="4">
        <v>44203</v>
      </c>
      <c r="E122" s="5">
        <f>YEAR(D122)</f>
        <v>2021</v>
      </c>
      <c r="F122">
        <v>2.2691431910006402E-2</v>
      </c>
      <c r="G122" t="s">
        <v>437</v>
      </c>
      <c r="H122">
        <v>339325</v>
      </c>
      <c r="I122">
        <v>729829</v>
      </c>
      <c r="J122" t="s">
        <v>56</v>
      </c>
      <c r="K122" t="s">
        <v>36</v>
      </c>
      <c r="L122" t="s">
        <v>8</v>
      </c>
      <c r="M122" t="s">
        <v>9</v>
      </c>
      <c r="N122" t="s">
        <v>438</v>
      </c>
      <c r="O122" s="3">
        <v>44393</v>
      </c>
      <c r="P122" t="s">
        <v>439</v>
      </c>
      <c r="R122" t="s">
        <v>10</v>
      </c>
      <c r="S122" t="s">
        <v>11</v>
      </c>
      <c r="T122" t="s">
        <v>18</v>
      </c>
      <c r="U122">
        <v>2</v>
      </c>
      <c r="V122">
        <v>0</v>
      </c>
      <c r="W122">
        <v>0</v>
      </c>
      <c r="X122">
        <v>2</v>
      </c>
      <c r="Y122">
        <v>0</v>
      </c>
      <c r="Z122">
        <v>0</v>
      </c>
      <c r="AA122" s="1">
        <f>Z122/U122</f>
        <v>0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226.91432189941401</v>
      </c>
      <c r="AP122">
        <v>77.772789625693704</v>
      </c>
    </row>
    <row r="123" spans="1:42" x14ac:dyDescent="0.25">
      <c r="A123">
        <v>127</v>
      </c>
      <c r="B123" t="s">
        <v>465</v>
      </c>
      <c r="D123" s="4">
        <v>44204</v>
      </c>
      <c r="E123" s="5">
        <f>YEAR(D123)</f>
        <v>2021</v>
      </c>
      <c r="F123">
        <v>1.5139638690821799E-2</v>
      </c>
      <c r="G123" t="s">
        <v>466</v>
      </c>
      <c r="H123">
        <v>339909</v>
      </c>
      <c r="I123">
        <v>730015</v>
      </c>
      <c r="J123" t="s">
        <v>56</v>
      </c>
      <c r="K123" t="s">
        <v>23</v>
      </c>
      <c r="L123" t="s">
        <v>467</v>
      </c>
      <c r="M123" t="s">
        <v>9</v>
      </c>
      <c r="N123" t="s">
        <v>468</v>
      </c>
      <c r="O123" s="3">
        <v>44434</v>
      </c>
      <c r="P123" t="s">
        <v>469</v>
      </c>
      <c r="Q123" s="3">
        <v>45235</v>
      </c>
      <c r="R123" t="s">
        <v>10</v>
      </c>
      <c r="S123" t="s">
        <v>11</v>
      </c>
      <c r="T123" t="s">
        <v>18</v>
      </c>
      <c r="U123">
        <v>2</v>
      </c>
      <c r="V123">
        <v>0</v>
      </c>
      <c r="W123">
        <v>0</v>
      </c>
      <c r="X123">
        <v>2</v>
      </c>
      <c r="Y123">
        <v>2</v>
      </c>
      <c r="Z123">
        <v>2</v>
      </c>
      <c r="AA123" s="1">
        <f>Z123/U123</f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151.39636230468801</v>
      </c>
      <c r="AP123">
        <v>49.550410196414198</v>
      </c>
    </row>
    <row r="124" spans="1:42" x14ac:dyDescent="0.25">
      <c r="A124">
        <v>161</v>
      </c>
      <c r="B124">
        <v>202323</v>
      </c>
      <c r="D124" s="4">
        <v>44996</v>
      </c>
      <c r="E124" s="5">
        <f>YEAR(D124)</f>
        <v>2023</v>
      </c>
      <c r="F124">
        <v>1.26934144468927E-2</v>
      </c>
      <c r="G124" t="s">
        <v>562</v>
      </c>
      <c r="H124">
        <v>340252</v>
      </c>
      <c r="I124">
        <v>730132</v>
      </c>
      <c r="J124" t="s">
        <v>56</v>
      </c>
      <c r="K124" t="s">
        <v>36</v>
      </c>
      <c r="L124" t="s">
        <v>8</v>
      </c>
      <c r="M124" t="s">
        <v>9</v>
      </c>
      <c r="N124" t="s">
        <v>563</v>
      </c>
      <c r="O124" s="3">
        <v>44996</v>
      </c>
      <c r="P124" t="s">
        <v>564</v>
      </c>
      <c r="R124" t="s">
        <v>10</v>
      </c>
      <c r="S124" t="s">
        <v>11</v>
      </c>
      <c r="T124" t="s">
        <v>18</v>
      </c>
      <c r="U124">
        <v>2</v>
      </c>
      <c r="V124">
        <v>0</v>
      </c>
      <c r="W124">
        <v>0</v>
      </c>
      <c r="X124">
        <v>2</v>
      </c>
      <c r="Y124">
        <v>0</v>
      </c>
      <c r="Z124">
        <v>0</v>
      </c>
      <c r="AA124" s="1">
        <f>Z124/U124</f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O124">
        <v>126.934127807617</v>
      </c>
      <c r="AP124">
        <v>45.760747520149501</v>
      </c>
    </row>
    <row r="125" spans="1:42" x14ac:dyDescent="0.25">
      <c r="A125">
        <v>172</v>
      </c>
      <c r="B125">
        <v>202403</v>
      </c>
      <c r="D125" s="4">
        <v>45314</v>
      </c>
      <c r="E125" s="5">
        <f>YEAR(D125)</f>
        <v>2024</v>
      </c>
      <c r="F125">
        <v>5.0141812315407298E-2</v>
      </c>
      <c r="G125" t="s">
        <v>591</v>
      </c>
      <c r="H125">
        <v>338788</v>
      </c>
      <c r="I125">
        <v>729671</v>
      </c>
      <c r="J125" t="s">
        <v>56</v>
      </c>
      <c r="K125" t="s">
        <v>36</v>
      </c>
      <c r="L125" t="s">
        <v>8</v>
      </c>
      <c r="M125" t="s">
        <v>9</v>
      </c>
      <c r="N125" t="s">
        <v>592</v>
      </c>
      <c r="O125" s="3">
        <v>45314</v>
      </c>
      <c r="R125" t="s">
        <v>10</v>
      </c>
      <c r="S125" t="s">
        <v>11</v>
      </c>
      <c r="T125" t="s">
        <v>18</v>
      </c>
      <c r="U125">
        <v>2</v>
      </c>
      <c r="V125">
        <v>0</v>
      </c>
      <c r="W125">
        <v>2</v>
      </c>
      <c r="X125">
        <v>0</v>
      </c>
      <c r="Y125">
        <v>0</v>
      </c>
      <c r="Z125">
        <v>0</v>
      </c>
      <c r="AA125" s="1">
        <f>Z125/U125</f>
        <v>0</v>
      </c>
      <c r="AB125">
        <v>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501.41807556152298</v>
      </c>
      <c r="AP125">
        <v>97.314405060079807</v>
      </c>
    </row>
    <row r="126" spans="1:42" x14ac:dyDescent="0.25">
      <c r="A126">
        <v>173</v>
      </c>
      <c r="B126">
        <v>202315</v>
      </c>
      <c r="D126" s="4">
        <v>45065</v>
      </c>
      <c r="E126" s="5">
        <f>YEAR(D126)</f>
        <v>2023</v>
      </c>
      <c r="F126">
        <v>0.115542344009971</v>
      </c>
      <c r="G126" t="s">
        <v>593</v>
      </c>
      <c r="H126">
        <v>342298</v>
      </c>
      <c r="I126">
        <v>731118</v>
      </c>
      <c r="J126" t="s">
        <v>56</v>
      </c>
      <c r="K126" t="s">
        <v>36</v>
      </c>
      <c r="L126" t="s">
        <v>8</v>
      </c>
      <c r="M126" t="s">
        <v>9</v>
      </c>
      <c r="N126" t="s">
        <v>594</v>
      </c>
      <c r="O126" s="3">
        <v>45065</v>
      </c>
      <c r="R126" t="s">
        <v>10</v>
      </c>
      <c r="S126" t="s">
        <v>11</v>
      </c>
      <c r="T126" t="s">
        <v>18</v>
      </c>
      <c r="U126">
        <v>2</v>
      </c>
      <c r="V126">
        <v>0</v>
      </c>
      <c r="W126">
        <v>2</v>
      </c>
      <c r="X126">
        <v>0</v>
      </c>
      <c r="Y126">
        <v>0</v>
      </c>
      <c r="Z126">
        <v>0</v>
      </c>
      <c r="AA126" s="1">
        <f>Z126/U126</f>
        <v>0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O126">
        <v>1155.4234161377001</v>
      </c>
      <c r="AP126">
        <v>145.27526812110301</v>
      </c>
    </row>
    <row r="127" spans="1:42" x14ac:dyDescent="0.25">
      <c r="A127">
        <v>174</v>
      </c>
      <c r="B127">
        <v>202314</v>
      </c>
      <c r="D127" s="4">
        <v>45064</v>
      </c>
      <c r="E127" s="5">
        <f>YEAR(D127)</f>
        <v>2023</v>
      </c>
      <c r="F127">
        <v>3.3732719998167598E-2</v>
      </c>
      <c r="G127" t="s">
        <v>595</v>
      </c>
      <c r="H127">
        <v>339440</v>
      </c>
      <c r="I127">
        <v>730204</v>
      </c>
      <c r="J127" t="s">
        <v>56</v>
      </c>
      <c r="K127" t="s">
        <v>36</v>
      </c>
      <c r="L127" t="s">
        <v>8</v>
      </c>
      <c r="M127" t="s">
        <v>9</v>
      </c>
      <c r="N127" t="s">
        <v>596</v>
      </c>
      <c r="O127" s="3">
        <v>45064</v>
      </c>
      <c r="R127" t="s">
        <v>10</v>
      </c>
      <c r="S127" t="s">
        <v>11</v>
      </c>
      <c r="T127" t="s">
        <v>18</v>
      </c>
      <c r="U127">
        <v>2</v>
      </c>
      <c r="V127">
        <v>0</v>
      </c>
      <c r="W127">
        <v>0</v>
      </c>
      <c r="X127">
        <v>2</v>
      </c>
      <c r="Y127">
        <v>0</v>
      </c>
      <c r="Z127">
        <v>0</v>
      </c>
      <c r="AA127" s="1">
        <f>Z127/U127</f>
        <v>0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337.32717895507801</v>
      </c>
      <c r="AP127">
        <v>73.197806152848898</v>
      </c>
    </row>
    <row r="128" spans="1:42" x14ac:dyDescent="0.25">
      <c r="A128">
        <v>179</v>
      </c>
      <c r="B128" t="s">
        <v>611</v>
      </c>
      <c r="C128" t="s">
        <v>207</v>
      </c>
      <c r="D128" s="4">
        <v>45021</v>
      </c>
      <c r="E128" s="5">
        <f>YEAR(D128)</f>
        <v>2023</v>
      </c>
      <c r="F128">
        <v>4.1786794998180499E-2</v>
      </c>
      <c r="G128" t="s">
        <v>612</v>
      </c>
      <c r="H128">
        <v>337951</v>
      </c>
      <c r="I128">
        <v>731543</v>
      </c>
      <c r="J128" t="s">
        <v>56</v>
      </c>
      <c r="K128" t="s">
        <v>14</v>
      </c>
      <c r="L128" t="s">
        <v>8</v>
      </c>
      <c r="M128" t="s">
        <v>9</v>
      </c>
      <c r="N128" t="s">
        <v>613</v>
      </c>
      <c r="O128" s="3">
        <v>45021</v>
      </c>
      <c r="P128" t="s">
        <v>614</v>
      </c>
      <c r="R128" t="s">
        <v>10</v>
      </c>
      <c r="S128" t="s">
        <v>11</v>
      </c>
      <c r="T128" t="s">
        <v>11</v>
      </c>
      <c r="U128">
        <v>2</v>
      </c>
      <c r="V128">
        <v>0</v>
      </c>
      <c r="W128">
        <v>2</v>
      </c>
      <c r="X128">
        <v>0</v>
      </c>
      <c r="Y128">
        <v>0</v>
      </c>
      <c r="Z128">
        <v>0</v>
      </c>
      <c r="AA128" s="1">
        <f>Z128/U128</f>
        <v>0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O128">
        <v>417.86796569824202</v>
      </c>
      <c r="AP128">
        <v>83.223111304082707</v>
      </c>
    </row>
    <row r="129" spans="1:42" x14ac:dyDescent="0.25">
      <c r="A129">
        <v>12</v>
      </c>
      <c r="B129" t="s">
        <v>54</v>
      </c>
      <c r="D129" s="4">
        <v>42856</v>
      </c>
      <c r="E129" s="5">
        <f>YEAR(D129)</f>
        <v>2017</v>
      </c>
      <c r="F129">
        <v>8.6026335399049594E-2</v>
      </c>
      <c r="G129" t="s">
        <v>55</v>
      </c>
      <c r="H129">
        <v>347058</v>
      </c>
      <c r="I129">
        <v>731241</v>
      </c>
      <c r="J129" t="s">
        <v>56</v>
      </c>
      <c r="K129" t="s">
        <v>14</v>
      </c>
      <c r="L129" t="s">
        <v>8</v>
      </c>
      <c r="M129" t="s">
        <v>9</v>
      </c>
      <c r="N129" t="s">
        <v>57</v>
      </c>
      <c r="O129" s="3">
        <v>43843</v>
      </c>
      <c r="P129" t="s">
        <v>58</v>
      </c>
      <c r="R129" t="s">
        <v>10</v>
      </c>
      <c r="S129" t="s">
        <v>11</v>
      </c>
      <c r="T129" t="s">
        <v>18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 s="1">
        <f>Z129/U129</f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860.26333618164097</v>
      </c>
      <c r="AP129">
        <v>127.99299015931101</v>
      </c>
    </row>
    <row r="130" spans="1:42" x14ac:dyDescent="0.25">
      <c r="A130">
        <v>13</v>
      </c>
      <c r="B130" t="s">
        <v>59</v>
      </c>
      <c r="D130" s="4">
        <v>41621</v>
      </c>
      <c r="E130" s="5">
        <f>YEAR(D130)</f>
        <v>2013</v>
      </c>
      <c r="F130">
        <v>0.13055430708141499</v>
      </c>
      <c r="G130" t="s">
        <v>60</v>
      </c>
      <c r="H130">
        <v>337465</v>
      </c>
      <c r="I130">
        <v>730045</v>
      </c>
      <c r="J130" t="s">
        <v>56</v>
      </c>
      <c r="K130" t="s">
        <v>14</v>
      </c>
      <c r="L130" t="s">
        <v>8</v>
      </c>
      <c r="M130" t="s">
        <v>9</v>
      </c>
      <c r="N130" t="s">
        <v>61</v>
      </c>
      <c r="O130" s="3">
        <v>44654</v>
      </c>
      <c r="P130" t="s">
        <v>62</v>
      </c>
      <c r="R130" t="s">
        <v>10</v>
      </c>
      <c r="S130" t="s">
        <v>11</v>
      </c>
      <c r="T130" t="s">
        <v>18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 s="1">
        <f>Z130/U130</f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1305.54309082031</v>
      </c>
      <c r="AP130">
        <v>189.18537398474399</v>
      </c>
    </row>
    <row r="131" spans="1:42" x14ac:dyDescent="0.25">
      <c r="A131">
        <v>22</v>
      </c>
      <c r="B131" t="s">
        <v>92</v>
      </c>
      <c r="D131" s="4">
        <v>42139</v>
      </c>
      <c r="E131" s="5">
        <f>YEAR(D131)</f>
        <v>2015</v>
      </c>
      <c r="F131">
        <v>4.0366131136699401E-2</v>
      </c>
      <c r="G131" t="s">
        <v>93</v>
      </c>
      <c r="H131">
        <v>347875</v>
      </c>
      <c r="I131">
        <v>731329</v>
      </c>
      <c r="J131" t="s">
        <v>56</v>
      </c>
      <c r="K131" t="s">
        <v>14</v>
      </c>
      <c r="L131" t="s">
        <v>8</v>
      </c>
      <c r="M131" t="s">
        <v>9</v>
      </c>
      <c r="N131" t="s">
        <v>94</v>
      </c>
      <c r="O131" s="3">
        <v>43470</v>
      </c>
      <c r="P131" t="s">
        <v>95</v>
      </c>
      <c r="R131" t="s">
        <v>10</v>
      </c>
      <c r="S131" t="s">
        <v>11</v>
      </c>
      <c r="T131" t="s">
        <v>18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 s="1">
        <f>Z131/U131</f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403.66131591796898</v>
      </c>
      <c r="AP131">
        <v>88.833579633651198</v>
      </c>
    </row>
    <row r="132" spans="1:42" x14ac:dyDescent="0.25">
      <c r="A132">
        <v>23</v>
      </c>
      <c r="B132" t="s">
        <v>96</v>
      </c>
      <c r="D132" s="4">
        <v>42545</v>
      </c>
      <c r="E132" s="5">
        <f>YEAR(D132)</f>
        <v>2016</v>
      </c>
      <c r="F132">
        <v>0.14694730099970199</v>
      </c>
      <c r="G132" t="s">
        <v>97</v>
      </c>
      <c r="H132">
        <v>339493</v>
      </c>
      <c r="I132">
        <v>730910</v>
      </c>
      <c r="J132" t="s">
        <v>56</v>
      </c>
      <c r="K132" t="s">
        <v>98</v>
      </c>
      <c r="L132" t="s">
        <v>8</v>
      </c>
      <c r="M132" t="s">
        <v>9</v>
      </c>
      <c r="N132" t="s">
        <v>99</v>
      </c>
      <c r="O132" s="3">
        <v>43818</v>
      </c>
      <c r="P132" t="s">
        <v>100</v>
      </c>
      <c r="Q132" s="3">
        <v>44914</v>
      </c>
      <c r="R132" t="s">
        <v>10</v>
      </c>
      <c r="S132" t="s">
        <v>11</v>
      </c>
      <c r="T132" t="s">
        <v>18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 s="1">
        <f>Z132/U132</f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1469.47303771973</v>
      </c>
      <c r="AP132">
        <v>167.783532658398</v>
      </c>
    </row>
    <row r="133" spans="1:42" x14ac:dyDescent="0.25">
      <c r="A133">
        <v>24</v>
      </c>
      <c r="B133" t="s">
        <v>101</v>
      </c>
      <c r="D133" s="4">
        <v>42627</v>
      </c>
      <c r="E133" s="5">
        <f>YEAR(D133)</f>
        <v>2016</v>
      </c>
      <c r="F133">
        <v>5.7013176111611698E-2</v>
      </c>
      <c r="G133" t="s">
        <v>102</v>
      </c>
      <c r="H133">
        <v>347449</v>
      </c>
      <c r="I133">
        <v>731179</v>
      </c>
      <c r="J133" t="s">
        <v>56</v>
      </c>
      <c r="K133" t="s">
        <v>14</v>
      </c>
      <c r="L133" t="s">
        <v>8</v>
      </c>
      <c r="M133" t="s">
        <v>9</v>
      </c>
      <c r="N133" t="s">
        <v>103</v>
      </c>
      <c r="O133" s="3">
        <v>42627</v>
      </c>
      <c r="P133" t="s">
        <v>104</v>
      </c>
      <c r="R133" t="s">
        <v>10</v>
      </c>
      <c r="S133" t="s">
        <v>11</v>
      </c>
      <c r="T133" t="s">
        <v>18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 s="1">
        <f>Z133/U133</f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570.13180541992199</v>
      </c>
      <c r="AP133">
        <v>102.99260564497899</v>
      </c>
    </row>
    <row r="134" spans="1:42" x14ac:dyDescent="0.25">
      <c r="A134">
        <v>25</v>
      </c>
      <c r="B134" t="s">
        <v>105</v>
      </c>
      <c r="D134" s="4">
        <v>40394</v>
      </c>
      <c r="E134" s="5">
        <f>YEAR(D134)</f>
        <v>2010</v>
      </c>
      <c r="F134">
        <v>3.3856630000123601E-2</v>
      </c>
      <c r="G134" t="s">
        <v>106</v>
      </c>
      <c r="H134">
        <v>346151</v>
      </c>
      <c r="I134">
        <v>730939</v>
      </c>
      <c r="J134" t="s">
        <v>56</v>
      </c>
      <c r="K134" t="s">
        <v>36</v>
      </c>
      <c r="L134" t="s">
        <v>8</v>
      </c>
      <c r="M134" t="s">
        <v>9</v>
      </c>
      <c r="N134" t="s">
        <v>107</v>
      </c>
      <c r="O134" s="3">
        <v>44598</v>
      </c>
      <c r="P134" t="s">
        <v>108</v>
      </c>
      <c r="Q134" s="3">
        <v>44839</v>
      </c>
      <c r="R134" t="s">
        <v>10</v>
      </c>
      <c r="S134" t="s">
        <v>11</v>
      </c>
      <c r="T134" t="s">
        <v>18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 s="1">
        <f>Z134/U134</f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338.56626892089798</v>
      </c>
      <c r="AP134">
        <v>79.087193658614694</v>
      </c>
    </row>
    <row r="135" spans="1:42" x14ac:dyDescent="0.25">
      <c r="A135">
        <v>26</v>
      </c>
      <c r="B135" t="s">
        <v>109</v>
      </c>
      <c r="D135" s="4">
        <v>42594</v>
      </c>
      <c r="E135" s="5">
        <f>YEAR(D135)</f>
        <v>2016</v>
      </c>
      <c r="F135">
        <v>0.18299320938946401</v>
      </c>
      <c r="G135" t="s">
        <v>110</v>
      </c>
      <c r="H135">
        <v>344419</v>
      </c>
      <c r="I135">
        <v>731195</v>
      </c>
      <c r="J135" t="s">
        <v>56</v>
      </c>
      <c r="K135" t="s">
        <v>36</v>
      </c>
      <c r="L135" t="s">
        <v>8</v>
      </c>
      <c r="M135" t="s">
        <v>9</v>
      </c>
      <c r="N135" t="s">
        <v>111</v>
      </c>
      <c r="O135" s="3">
        <v>44889</v>
      </c>
      <c r="R135" t="s">
        <v>10</v>
      </c>
      <c r="S135" t="s">
        <v>11</v>
      </c>
      <c r="T135" t="s">
        <v>18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 s="1">
        <f>Z135/U135</f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1829.9320373535199</v>
      </c>
      <c r="AP135">
        <v>198.13896198532399</v>
      </c>
    </row>
    <row r="136" spans="1:42" x14ac:dyDescent="0.25">
      <c r="A136">
        <v>29</v>
      </c>
      <c r="B136" t="s">
        <v>121</v>
      </c>
      <c r="D136" s="4">
        <v>42879</v>
      </c>
      <c r="E136" s="5">
        <f>YEAR(D136)</f>
        <v>2017</v>
      </c>
      <c r="F136">
        <v>4.0015906048659997E-2</v>
      </c>
      <c r="G136" t="s">
        <v>122</v>
      </c>
      <c r="H136">
        <v>336991</v>
      </c>
      <c r="I136">
        <v>730301</v>
      </c>
      <c r="J136" t="s">
        <v>56</v>
      </c>
      <c r="K136" t="s">
        <v>36</v>
      </c>
      <c r="L136" t="s">
        <v>8</v>
      </c>
      <c r="M136" t="s">
        <v>9</v>
      </c>
      <c r="N136" t="s">
        <v>123</v>
      </c>
      <c r="O136" s="3">
        <v>44427</v>
      </c>
      <c r="R136" t="s">
        <v>10</v>
      </c>
      <c r="S136" t="s">
        <v>11</v>
      </c>
      <c r="T136" t="s">
        <v>18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 s="1">
        <f>Z136/U136</f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400.15902709960898</v>
      </c>
      <c r="AP136">
        <v>87.669592685541403</v>
      </c>
    </row>
    <row r="137" spans="1:42" x14ac:dyDescent="0.25">
      <c r="A137">
        <v>30</v>
      </c>
      <c r="B137" t="s">
        <v>124</v>
      </c>
      <c r="D137" s="4">
        <v>42741</v>
      </c>
      <c r="E137" s="5">
        <f>YEAR(D137)</f>
        <v>2017</v>
      </c>
      <c r="F137">
        <v>0.15267501438817399</v>
      </c>
      <c r="G137" t="s">
        <v>125</v>
      </c>
      <c r="H137">
        <v>338201</v>
      </c>
      <c r="I137">
        <v>731821</v>
      </c>
      <c r="J137" t="s">
        <v>56</v>
      </c>
      <c r="K137" t="s">
        <v>36</v>
      </c>
      <c r="L137" t="s">
        <v>8</v>
      </c>
      <c r="M137" t="s">
        <v>9</v>
      </c>
      <c r="N137" t="s">
        <v>126</v>
      </c>
      <c r="O137" s="3">
        <v>44837</v>
      </c>
      <c r="R137" t="s">
        <v>10</v>
      </c>
      <c r="S137" t="s">
        <v>11</v>
      </c>
      <c r="T137" t="s">
        <v>18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 s="1">
        <f>Z137/U137</f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1526.75012207031</v>
      </c>
      <c r="AP137">
        <v>174.75385518194199</v>
      </c>
    </row>
    <row r="138" spans="1:42" x14ac:dyDescent="0.25">
      <c r="A138">
        <v>31</v>
      </c>
      <c r="B138" t="s">
        <v>127</v>
      </c>
      <c r="D138" s="4">
        <v>43034</v>
      </c>
      <c r="E138" s="5">
        <f>YEAR(D138)</f>
        <v>2017</v>
      </c>
      <c r="F138">
        <v>0.138441767598975</v>
      </c>
      <c r="G138" t="s">
        <v>128</v>
      </c>
      <c r="H138">
        <v>341179</v>
      </c>
      <c r="I138">
        <v>731912</v>
      </c>
      <c r="J138" t="s">
        <v>56</v>
      </c>
      <c r="K138" t="s">
        <v>14</v>
      </c>
      <c r="L138" t="s">
        <v>8</v>
      </c>
      <c r="M138" t="s">
        <v>9</v>
      </c>
      <c r="N138" t="s">
        <v>129</v>
      </c>
      <c r="O138" s="3">
        <v>44071</v>
      </c>
      <c r="P138" t="s">
        <v>130</v>
      </c>
      <c r="R138" t="s">
        <v>10</v>
      </c>
      <c r="S138" t="s">
        <v>11</v>
      </c>
      <c r="T138" t="s">
        <v>18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 s="1">
        <f>Z138/U138</f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1384.41772460938</v>
      </c>
      <c r="AP138">
        <v>165.00280833192701</v>
      </c>
    </row>
    <row r="139" spans="1:42" x14ac:dyDescent="0.25">
      <c r="A139">
        <v>34</v>
      </c>
      <c r="B139" t="s">
        <v>139</v>
      </c>
      <c r="D139" s="4">
        <v>43185</v>
      </c>
      <c r="E139" s="5">
        <f>YEAR(D139)</f>
        <v>2018</v>
      </c>
      <c r="F139">
        <v>0.18636985475972301</v>
      </c>
      <c r="G139" t="s">
        <v>140</v>
      </c>
      <c r="H139">
        <v>348337</v>
      </c>
      <c r="I139">
        <v>733354</v>
      </c>
      <c r="J139" t="s">
        <v>56</v>
      </c>
      <c r="K139" t="s">
        <v>36</v>
      </c>
      <c r="L139" t="s">
        <v>8</v>
      </c>
      <c r="M139" t="s">
        <v>9</v>
      </c>
      <c r="N139" t="s">
        <v>141</v>
      </c>
      <c r="O139" s="3">
        <v>44382</v>
      </c>
      <c r="R139" t="s">
        <v>10</v>
      </c>
      <c r="S139" t="s">
        <v>11</v>
      </c>
      <c r="T139" t="s">
        <v>18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 s="1">
        <f>Z139/U139</f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1863.6985473632801</v>
      </c>
      <c r="AP139">
        <v>179.73587298241901</v>
      </c>
    </row>
    <row r="140" spans="1:42" x14ac:dyDescent="0.25">
      <c r="A140">
        <v>63</v>
      </c>
      <c r="B140" t="s">
        <v>224</v>
      </c>
      <c r="D140" s="4">
        <v>43286</v>
      </c>
      <c r="E140" s="5">
        <f>YEAR(D140)</f>
        <v>2018</v>
      </c>
      <c r="F140">
        <v>0.133660753077644</v>
      </c>
      <c r="G140" t="s">
        <v>225</v>
      </c>
      <c r="H140">
        <v>337685</v>
      </c>
      <c r="I140">
        <v>729805</v>
      </c>
      <c r="J140" t="s">
        <v>56</v>
      </c>
      <c r="K140" t="s">
        <v>23</v>
      </c>
      <c r="L140" t="s">
        <v>8</v>
      </c>
      <c r="M140" t="s">
        <v>9</v>
      </c>
      <c r="N140" t="s">
        <v>226</v>
      </c>
      <c r="O140" s="3">
        <v>44382</v>
      </c>
      <c r="P140" t="s">
        <v>227</v>
      </c>
      <c r="Q140" s="3">
        <v>44935</v>
      </c>
      <c r="R140" t="s">
        <v>10</v>
      </c>
      <c r="S140" t="s">
        <v>11</v>
      </c>
      <c r="T140" t="s">
        <v>18</v>
      </c>
      <c r="U140">
        <v>1</v>
      </c>
      <c r="V140">
        <v>0</v>
      </c>
      <c r="W140">
        <v>1</v>
      </c>
      <c r="X140">
        <v>0</v>
      </c>
      <c r="Y140">
        <v>1</v>
      </c>
      <c r="Z140">
        <v>1</v>
      </c>
      <c r="AA140" s="1">
        <f>Z140/U140</f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1336.6075744628899</v>
      </c>
      <c r="AP140">
        <v>237.62155676016499</v>
      </c>
    </row>
    <row r="141" spans="1:42" x14ac:dyDescent="0.25">
      <c r="A141">
        <v>68</v>
      </c>
      <c r="B141" t="s">
        <v>246</v>
      </c>
      <c r="D141" s="4">
        <v>43388</v>
      </c>
      <c r="E141" s="5">
        <f>YEAR(D141)</f>
        <v>2018</v>
      </c>
      <c r="F141">
        <v>8.4969977317749995E-2</v>
      </c>
      <c r="G141" t="s">
        <v>247</v>
      </c>
      <c r="H141">
        <v>336537</v>
      </c>
      <c r="I141">
        <v>729831</v>
      </c>
      <c r="J141" t="s">
        <v>56</v>
      </c>
      <c r="K141" t="s">
        <v>23</v>
      </c>
      <c r="L141" t="s">
        <v>8</v>
      </c>
      <c r="M141" t="s">
        <v>9</v>
      </c>
      <c r="N141" t="s">
        <v>248</v>
      </c>
      <c r="O141" s="3">
        <v>43951</v>
      </c>
      <c r="P141" t="s">
        <v>249</v>
      </c>
      <c r="Q141" s="3">
        <v>44937</v>
      </c>
      <c r="R141" t="s">
        <v>10</v>
      </c>
      <c r="S141" t="s">
        <v>11</v>
      </c>
      <c r="T141" t="s">
        <v>18</v>
      </c>
      <c r="U141">
        <v>1</v>
      </c>
      <c r="V141">
        <v>0</v>
      </c>
      <c r="W141">
        <v>1</v>
      </c>
      <c r="X141">
        <v>0</v>
      </c>
      <c r="Y141">
        <v>1</v>
      </c>
      <c r="Z141">
        <v>1</v>
      </c>
      <c r="AA141" s="1">
        <f>Z141/U141</f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1</v>
      </c>
      <c r="AO141">
        <v>849.69978332519497</v>
      </c>
      <c r="AP141">
        <v>128.21156907223599</v>
      </c>
    </row>
    <row r="142" spans="1:42" x14ac:dyDescent="0.25">
      <c r="A142">
        <v>79</v>
      </c>
      <c r="B142" t="s">
        <v>287</v>
      </c>
      <c r="D142" s="4">
        <v>43861</v>
      </c>
      <c r="E142" s="5">
        <f>YEAR(D142)</f>
        <v>2020</v>
      </c>
      <c r="F142">
        <v>5.1985297933219203E-2</v>
      </c>
      <c r="G142" t="s">
        <v>288</v>
      </c>
      <c r="H142">
        <v>338252</v>
      </c>
      <c r="I142">
        <v>730106</v>
      </c>
      <c r="J142" t="s">
        <v>56</v>
      </c>
      <c r="K142" t="s">
        <v>36</v>
      </c>
      <c r="L142" t="s">
        <v>8</v>
      </c>
      <c r="M142" t="s">
        <v>9</v>
      </c>
      <c r="N142" t="s">
        <v>289</v>
      </c>
      <c r="O142" s="3">
        <v>45198</v>
      </c>
      <c r="R142" t="s">
        <v>10</v>
      </c>
      <c r="S142" t="s">
        <v>11</v>
      </c>
      <c r="T142" t="s">
        <v>18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0</v>
      </c>
      <c r="AA142" s="1">
        <f>Z142/U142</f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519.85299682617199</v>
      </c>
      <c r="AP142">
        <v>93.918066082835097</v>
      </c>
    </row>
    <row r="143" spans="1:42" x14ac:dyDescent="0.25">
      <c r="A143">
        <v>85</v>
      </c>
      <c r="B143" t="s">
        <v>309</v>
      </c>
      <c r="D143" s="4">
        <v>44161</v>
      </c>
      <c r="E143" s="5">
        <f>YEAR(D143)</f>
        <v>2020</v>
      </c>
      <c r="F143">
        <v>1.06183566749707E-2</v>
      </c>
      <c r="G143" t="s">
        <v>310</v>
      </c>
      <c r="H143">
        <v>340214</v>
      </c>
      <c r="I143">
        <v>730670</v>
      </c>
      <c r="J143" t="s">
        <v>56</v>
      </c>
      <c r="K143" t="s">
        <v>14</v>
      </c>
      <c r="L143" t="s">
        <v>311</v>
      </c>
      <c r="M143" t="s">
        <v>9</v>
      </c>
      <c r="N143" t="s">
        <v>312</v>
      </c>
      <c r="O143" s="3">
        <v>44161</v>
      </c>
      <c r="P143" t="s">
        <v>313</v>
      </c>
      <c r="R143" t="s">
        <v>10</v>
      </c>
      <c r="S143" t="s">
        <v>11</v>
      </c>
      <c r="T143" t="s">
        <v>18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 s="1">
        <f>Z143/U143</f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106.183547973633</v>
      </c>
      <c r="AP143">
        <v>47.324984681442302</v>
      </c>
    </row>
    <row r="144" spans="1:42" x14ac:dyDescent="0.25">
      <c r="A144">
        <v>87</v>
      </c>
      <c r="B144" t="s">
        <v>319</v>
      </c>
      <c r="D144" s="4">
        <v>44348</v>
      </c>
      <c r="E144" s="5">
        <f>YEAR(D144)</f>
        <v>2021</v>
      </c>
      <c r="F144">
        <v>1.2995607863714899E-2</v>
      </c>
      <c r="G144" t="s">
        <v>320</v>
      </c>
      <c r="H144">
        <v>340051</v>
      </c>
      <c r="I144">
        <v>731225</v>
      </c>
      <c r="J144" t="s">
        <v>56</v>
      </c>
      <c r="K144" t="s">
        <v>98</v>
      </c>
      <c r="L144" t="s">
        <v>8</v>
      </c>
      <c r="M144" t="s">
        <v>9</v>
      </c>
      <c r="N144" t="s">
        <v>321</v>
      </c>
      <c r="O144" s="3">
        <v>44348</v>
      </c>
      <c r="R144" t="s">
        <v>10</v>
      </c>
      <c r="S144" t="s">
        <v>11</v>
      </c>
      <c r="T144" t="s">
        <v>18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 s="1">
        <f>Z144/U144</f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129.95610046386699</v>
      </c>
      <c r="AP144">
        <v>62.080961864470503</v>
      </c>
    </row>
    <row r="145" spans="1:42" x14ac:dyDescent="0.25">
      <c r="A145">
        <v>88</v>
      </c>
      <c r="B145" t="s">
        <v>322</v>
      </c>
      <c r="D145" s="4">
        <v>44209</v>
      </c>
      <c r="E145" s="5">
        <f>YEAR(D145)</f>
        <v>2021</v>
      </c>
      <c r="F145">
        <v>2.5383307258967699E-2</v>
      </c>
      <c r="G145" t="s">
        <v>323</v>
      </c>
      <c r="H145">
        <v>340337</v>
      </c>
      <c r="I145">
        <v>730395</v>
      </c>
      <c r="J145" t="s">
        <v>56</v>
      </c>
      <c r="K145" t="s">
        <v>98</v>
      </c>
      <c r="L145" t="s">
        <v>324</v>
      </c>
      <c r="M145" t="s">
        <v>9</v>
      </c>
      <c r="N145" t="s">
        <v>325</v>
      </c>
      <c r="O145" s="3">
        <v>44209</v>
      </c>
      <c r="Q145" s="3">
        <v>45304</v>
      </c>
      <c r="R145" t="s">
        <v>10</v>
      </c>
      <c r="S145" t="s">
        <v>11</v>
      </c>
      <c r="T145" t="s">
        <v>18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 s="1">
        <f>Z145/U145</f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253.83306884765599</v>
      </c>
      <c r="AP145">
        <v>65.140274642517198</v>
      </c>
    </row>
    <row r="146" spans="1:42" x14ac:dyDescent="0.25">
      <c r="A146">
        <v>90</v>
      </c>
      <c r="B146" t="s">
        <v>330</v>
      </c>
      <c r="D146" s="4">
        <v>44471</v>
      </c>
      <c r="E146" s="5">
        <f>YEAR(D146)</f>
        <v>2021</v>
      </c>
      <c r="F146">
        <v>0.115040147601875</v>
      </c>
      <c r="G146" t="s">
        <v>331</v>
      </c>
      <c r="H146">
        <v>345098</v>
      </c>
      <c r="I146">
        <v>731659</v>
      </c>
      <c r="J146" t="s">
        <v>56</v>
      </c>
      <c r="K146" t="s">
        <v>14</v>
      </c>
      <c r="L146" t="s">
        <v>8</v>
      </c>
      <c r="M146" t="s">
        <v>9</v>
      </c>
      <c r="N146" t="s">
        <v>332</v>
      </c>
      <c r="O146" s="3">
        <v>44471</v>
      </c>
      <c r="P146" t="s">
        <v>333</v>
      </c>
      <c r="R146" t="s">
        <v>10</v>
      </c>
      <c r="S146" t="s">
        <v>11</v>
      </c>
      <c r="T146" t="s">
        <v>18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 s="1">
        <f>Z146/U146</f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1150.4014434814501</v>
      </c>
      <c r="AP146">
        <v>136.38453725142901</v>
      </c>
    </row>
    <row r="147" spans="1:42" x14ac:dyDescent="0.25">
      <c r="A147">
        <v>95</v>
      </c>
      <c r="B147" t="s">
        <v>349</v>
      </c>
      <c r="D147" s="4">
        <v>43971</v>
      </c>
      <c r="E147" s="5">
        <f>YEAR(D147)</f>
        <v>2020</v>
      </c>
      <c r="F147">
        <v>2.7587520728220401E-2</v>
      </c>
      <c r="G147" t="s">
        <v>350</v>
      </c>
      <c r="H147">
        <v>339426</v>
      </c>
      <c r="I147">
        <v>730922</v>
      </c>
      <c r="J147" t="s">
        <v>56</v>
      </c>
      <c r="K147" t="s">
        <v>23</v>
      </c>
      <c r="L147" t="s">
        <v>8</v>
      </c>
      <c r="M147" t="s">
        <v>9</v>
      </c>
      <c r="N147" t="s">
        <v>351</v>
      </c>
      <c r="O147" s="3">
        <v>43971</v>
      </c>
      <c r="P147" t="s">
        <v>352</v>
      </c>
      <c r="Q147" s="3">
        <v>45321</v>
      </c>
      <c r="R147" t="s">
        <v>10</v>
      </c>
      <c r="S147" t="s">
        <v>11</v>
      </c>
      <c r="T147" t="s">
        <v>18</v>
      </c>
      <c r="U147">
        <v>1</v>
      </c>
      <c r="V147">
        <v>0</v>
      </c>
      <c r="W147">
        <v>1</v>
      </c>
      <c r="X147">
        <v>0</v>
      </c>
      <c r="Y147">
        <v>1</v>
      </c>
      <c r="Z147">
        <v>1</v>
      </c>
      <c r="AA147" s="1">
        <f>Z147/U147</f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275.87521362304699</v>
      </c>
      <c r="AP147">
        <v>79.471623998033607</v>
      </c>
    </row>
    <row r="148" spans="1:42" x14ac:dyDescent="0.25">
      <c r="A148">
        <v>101</v>
      </c>
      <c r="B148" t="s">
        <v>370</v>
      </c>
      <c r="D148" s="4">
        <v>43977</v>
      </c>
      <c r="E148" s="5">
        <f>YEAR(D148)</f>
        <v>2020</v>
      </c>
      <c r="F148">
        <v>2.1310919635449899E-2</v>
      </c>
      <c r="G148" t="s">
        <v>371</v>
      </c>
      <c r="H148">
        <v>346866</v>
      </c>
      <c r="I148">
        <v>731047</v>
      </c>
      <c r="J148" t="s">
        <v>56</v>
      </c>
      <c r="K148" t="s">
        <v>14</v>
      </c>
      <c r="L148" t="s">
        <v>8</v>
      </c>
      <c r="M148" t="s">
        <v>9</v>
      </c>
      <c r="N148" t="s">
        <v>372</v>
      </c>
      <c r="O148" s="3">
        <v>43977</v>
      </c>
      <c r="P148" t="s">
        <v>373</v>
      </c>
      <c r="R148" t="s">
        <v>10</v>
      </c>
      <c r="S148" t="s">
        <v>11</v>
      </c>
      <c r="T148" t="s">
        <v>18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 s="1">
        <f>Z148/U148</f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213.10922241210901</v>
      </c>
      <c r="AP148">
        <v>75.3999886974877</v>
      </c>
    </row>
    <row r="149" spans="1:42" x14ac:dyDescent="0.25">
      <c r="A149">
        <v>106</v>
      </c>
      <c r="B149" t="s">
        <v>388</v>
      </c>
      <c r="D149" s="4">
        <v>44043</v>
      </c>
      <c r="E149" s="5">
        <f>YEAR(D149)</f>
        <v>2020</v>
      </c>
      <c r="F149">
        <v>2.5906447766033801E-2</v>
      </c>
      <c r="G149" t="s">
        <v>389</v>
      </c>
      <c r="H149">
        <v>338543</v>
      </c>
      <c r="I149">
        <v>734031</v>
      </c>
      <c r="J149" t="s">
        <v>56</v>
      </c>
      <c r="K149" t="s">
        <v>36</v>
      </c>
      <c r="L149" t="s">
        <v>8</v>
      </c>
      <c r="M149" t="s">
        <v>9</v>
      </c>
      <c r="N149" t="s">
        <v>390</v>
      </c>
      <c r="O149" s="3">
        <v>45198</v>
      </c>
      <c r="P149" t="s">
        <v>391</v>
      </c>
      <c r="R149" t="s">
        <v>10</v>
      </c>
      <c r="S149" t="s">
        <v>11</v>
      </c>
      <c r="T149" t="s">
        <v>18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 s="1">
        <f>Z149/U149</f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259.064453125</v>
      </c>
      <c r="AP149">
        <v>67.270312823089199</v>
      </c>
    </row>
    <row r="150" spans="1:42" x14ac:dyDescent="0.25">
      <c r="A150">
        <v>109</v>
      </c>
      <c r="B150" t="s">
        <v>400</v>
      </c>
      <c r="D150" s="4">
        <v>43930</v>
      </c>
      <c r="E150" s="5">
        <f>YEAR(D150)</f>
        <v>2020</v>
      </c>
      <c r="F150">
        <v>4.9832625690476202E-2</v>
      </c>
      <c r="G150" t="s">
        <v>401</v>
      </c>
      <c r="H150">
        <v>339508</v>
      </c>
      <c r="I150">
        <v>731114</v>
      </c>
      <c r="J150" t="s">
        <v>56</v>
      </c>
      <c r="K150" t="s">
        <v>36</v>
      </c>
      <c r="L150" t="s">
        <v>8</v>
      </c>
      <c r="M150" t="s">
        <v>9</v>
      </c>
      <c r="N150" t="s">
        <v>402</v>
      </c>
      <c r="O150" s="3">
        <v>45166</v>
      </c>
      <c r="R150" t="s">
        <v>10</v>
      </c>
      <c r="S150" t="s">
        <v>11</v>
      </c>
      <c r="T150" t="s">
        <v>18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 s="1">
        <f>Z150/U150</f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498.32621765136702</v>
      </c>
      <c r="AP150">
        <v>96.063965514648501</v>
      </c>
    </row>
    <row r="151" spans="1:42" x14ac:dyDescent="0.25">
      <c r="A151">
        <v>110</v>
      </c>
      <c r="B151" t="s">
        <v>403</v>
      </c>
      <c r="D151" s="4">
        <v>44074</v>
      </c>
      <c r="E151" s="5">
        <f>YEAR(D151)</f>
        <v>2020</v>
      </c>
      <c r="F151">
        <v>9.5213958887871604E-3</v>
      </c>
      <c r="G151" t="s">
        <v>404</v>
      </c>
      <c r="H151">
        <v>340962</v>
      </c>
      <c r="I151">
        <v>731134</v>
      </c>
      <c r="J151" t="s">
        <v>56</v>
      </c>
      <c r="K151" t="s">
        <v>98</v>
      </c>
      <c r="L151" t="s">
        <v>8</v>
      </c>
      <c r="M151" t="s">
        <v>9</v>
      </c>
      <c r="N151" t="s">
        <v>405</v>
      </c>
      <c r="O151" s="3">
        <v>44074</v>
      </c>
      <c r="Q151" s="3">
        <v>45169</v>
      </c>
      <c r="R151" t="s">
        <v>10</v>
      </c>
      <c r="S151" t="s">
        <v>11</v>
      </c>
      <c r="T151" t="s">
        <v>18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 s="1">
        <f>Z151/U151</f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95.213958740234403</v>
      </c>
      <c r="AP151">
        <v>42.753533590786397</v>
      </c>
    </row>
    <row r="152" spans="1:42" x14ac:dyDescent="0.25">
      <c r="A152">
        <v>111</v>
      </c>
      <c r="B152" t="s">
        <v>406</v>
      </c>
      <c r="D152" s="4">
        <v>43871</v>
      </c>
      <c r="E152" s="5">
        <f>YEAR(D152)</f>
        <v>2020</v>
      </c>
      <c r="F152">
        <v>0.13039115152335501</v>
      </c>
      <c r="G152" t="s">
        <v>407</v>
      </c>
      <c r="H152">
        <v>344782</v>
      </c>
      <c r="I152">
        <v>731354</v>
      </c>
      <c r="J152" t="s">
        <v>56</v>
      </c>
      <c r="K152" t="s">
        <v>36</v>
      </c>
      <c r="L152" t="s">
        <v>8</v>
      </c>
      <c r="M152" t="s">
        <v>9</v>
      </c>
      <c r="N152" t="s">
        <v>408</v>
      </c>
      <c r="O152" s="3">
        <v>45324</v>
      </c>
      <c r="R152" t="s">
        <v>10</v>
      </c>
      <c r="S152" t="s">
        <v>11</v>
      </c>
      <c r="T152" t="s">
        <v>18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 s="1">
        <f>Z152/U152</f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1303.9115447997999</v>
      </c>
      <c r="AP152">
        <v>240.91158737507499</v>
      </c>
    </row>
    <row r="153" spans="1:42" x14ac:dyDescent="0.25">
      <c r="A153">
        <v>112</v>
      </c>
      <c r="B153" t="s">
        <v>409</v>
      </c>
      <c r="D153" s="4">
        <v>44115</v>
      </c>
      <c r="E153" s="5">
        <f>YEAR(D153)</f>
        <v>2020</v>
      </c>
      <c r="F153">
        <v>4.70114258611617E-2</v>
      </c>
      <c r="G153" t="s">
        <v>410</v>
      </c>
      <c r="H153">
        <v>341571</v>
      </c>
      <c r="I153">
        <v>731090</v>
      </c>
      <c r="J153" t="s">
        <v>56</v>
      </c>
      <c r="K153" t="s">
        <v>14</v>
      </c>
      <c r="L153" t="s">
        <v>8</v>
      </c>
      <c r="M153" t="s">
        <v>9</v>
      </c>
      <c r="N153" t="s">
        <v>411</v>
      </c>
      <c r="O153" s="3">
        <v>44115</v>
      </c>
      <c r="P153" t="s">
        <v>412</v>
      </c>
      <c r="Q153" s="3">
        <v>45210</v>
      </c>
      <c r="R153" t="s">
        <v>10</v>
      </c>
      <c r="S153" t="s">
        <v>11</v>
      </c>
      <c r="T153" t="s">
        <v>18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 s="1">
        <f>Z153/U153</f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470.1142578125</v>
      </c>
      <c r="AP153">
        <v>88.634371270327904</v>
      </c>
    </row>
    <row r="154" spans="1:42" x14ac:dyDescent="0.25">
      <c r="A154">
        <v>113</v>
      </c>
      <c r="B154" t="s">
        <v>413</v>
      </c>
      <c r="D154" s="4">
        <v>44176</v>
      </c>
      <c r="E154" s="5">
        <f>YEAR(D154)</f>
        <v>2020</v>
      </c>
      <c r="F154">
        <v>0.13096951666395401</v>
      </c>
      <c r="G154" t="s">
        <v>414</v>
      </c>
      <c r="H154">
        <v>339435</v>
      </c>
      <c r="I154">
        <v>730892</v>
      </c>
      <c r="J154" t="s">
        <v>56</v>
      </c>
      <c r="K154" t="s">
        <v>14</v>
      </c>
      <c r="L154" t="s">
        <v>8</v>
      </c>
      <c r="M154" t="s">
        <v>9</v>
      </c>
      <c r="N154" t="s">
        <v>415</v>
      </c>
      <c r="O154" s="3">
        <v>44176</v>
      </c>
      <c r="P154" t="s">
        <v>416</v>
      </c>
      <c r="R154" t="s">
        <v>10</v>
      </c>
      <c r="S154" t="s">
        <v>11</v>
      </c>
      <c r="T154" t="s">
        <v>18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 s="1">
        <f>Z154/U154</f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1309.6951751709</v>
      </c>
      <c r="AP154">
        <v>154.418145725763</v>
      </c>
    </row>
    <row r="155" spans="1:42" x14ac:dyDescent="0.25">
      <c r="A155">
        <v>114</v>
      </c>
      <c r="B155" t="s">
        <v>417</v>
      </c>
      <c r="D155" s="4">
        <v>44143</v>
      </c>
      <c r="E155" s="5">
        <f>YEAR(D155)</f>
        <v>2020</v>
      </c>
      <c r="F155">
        <v>1.27992573993302E-2</v>
      </c>
      <c r="G155" t="s">
        <v>418</v>
      </c>
      <c r="H155">
        <v>340057</v>
      </c>
      <c r="I155">
        <v>729953</v>
      </c>
      <c r="J155" t="s">
        <v>56</v>
      </c>
      <c r="K155" t="s">
        <v>14</v>
      </c>
      <c r="L155" t="s">
        <v>8</v>
      </c>
      <c r="M155" t="s">
        <v>9</v>
      </c>
      <c r="N155" t="s">
        <v>419</v>
      </c>
      <c r="O155" s="3">
        <v>44143</v>
      </c>
      <c r="P155" t="s">
        <v>420</v>
      </c>
      <c r="R155" t="s">
        <v>10</v>
      </c>
      <c r="S155" t="s">
        <v>11</v>
      </c>
      <c r="T155" t="s">
        <v>18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 s="1">
        <f>Z155/U155</f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127.992568969727</v>
      </c>
      <c r="AP155">
        <v>52.055683475463503</v>
      </c>
    </row>
    <row r="156" spans="1:42" x14ac:dyDescent="0.25">
      <c r="A156">
        <v>116</v>
      </c>
      <c r="B156" t="s">
        <v>424</v>
      </c>
      <c r="D156" s="4">
        <v>44535</v>
      </c>
      <c r="E156" s="5">
        <f>YEAR(D156)</f>
        <v>2021</v>
      </c>
      <c r="F156">
        <v>0.13032239801453899</v>
      </c>
      <c r="G156" t="s">
        <v>425</v>
      </c>
      <c r="H156">
        <v>338540</v>
      </c>
      <c r="I156">
        <v>733383</v>
      </c>
      <c r="J156" t="s">
        <v>56</v>
      </c>
      <c r="K156" t="s">
        <v>36</v>
      </c>
      <c r="L156" t="s">
        <v>8</v>
      </c>
      <c r="M156" t="s">
        <v>9</v>
      </c>
      <c r="N156" t="s">
        <v>426</v>
      </c>
      <c r="O156" s="3">
        <v>44535</v>
      </c>
      <c r="P156" t="s">
        <v>427</v>
      </c>
      <c r="R156" t="s">
        <v>10</v>
      </c>
      <c r="S156" t="s">
        <v>11</v>
      </c>
      <c r="T156" t="s">
        <v>18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 s="1">
        <f>Z156/U156</f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1303.22399902344</v>
      </c>
      <c r="AP156">
        <v>170.53928805785799</v>
      </c>
    </row>
    <row r="157" spans="1:42" x14ac:dyDescent="0.25">
      <c r="A157">
        <v>117</v>
      </c>
      <c r="B157" t="s">
        <v>428</v>
      </c>
      <c r="D157" s="4">
        <v>44250</v>
      </c>
      <c r="E157" s="5">
        <f>YEAR(D157)</f>
        <v>2021</v>
      </c>
      <c r="F157">
        <v>0.42239800342053702</v>
      </c>
      <c r="G157" t="s">
        <v>429</v>
      </c>
      <c r="H157">
        <v>334221</v>
      </c>
      <c r="I157">
        <v>732256</v>
      </c>
      <c r="J157" t="s">
        <v>56</v>
      </c>
      <c r="K157" t="s">
        <v>23</v>
      </c>
      <c r="L157" t="s">
        <v>8</v>
      </c>
      <c r="M157" t="s">
        <v>9</v>
      </c>
      <c r="N157" t="s">
        <v>430</v>
      </c>
      <c r="O157" s="3">
        <v>44250</v>
      </c>
      <c r="P157" t="s">
        <v>431</v>
      </c>
      <c r="Q157" s="3">
        <v>45156</v>
      </c>
      <c r="R157" t="s">
        <v>10</v>
      </c>
      <c r="S157" t="s">
        <v>11</v>
      </c>
      <c r="T157" t="s">
        <v>18</v>
      </c>
      <c r="U157">
        <v>1</v>
      </c>
      <c r="V157">
        <v>0</v>
      </c>
      <c r="W157">
        <v>1</v>
      </c>
      <c r="X157">
        <v>0</v>
      </c>
      <c r="Y157">
        <v>1</v>
      </c>
      <c r="Z157">
        <v>1</v>
      </c>
      <c r="AA157" s="1">
        <f>Z157/U157</f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4223.9800415039099</v>
      </c>
      <c r="AP157">
        <v>287.39678976837502</v>
      </c>
    </row>
    <row r="158" spans="1:42" x14ac:dyDescent="0.25">
      <c r="A158">
        <v>118</v>
      </c>
      <c r="B158" t="s">
        <v>432</v>
      </c>
      <c r="D158" s="4">
        <v>44307</v>
      </c>
      <c r="E158" s="5">
        <f>YEAR(D158)</f>
        <v>2021</v>
      </c>
      <c r="F158">
        <v>7.8396289198460201E-2</v>
      </c>
      <c r="G158" t="s">
        <v>433</v>
      </c>
      <c r="H158">
        <v>348471</v>
      </c>
      <c r="I158">
        <v>733313</v>
      </c>
      <c r="J158" t="s">
        <v>56</v>
      </c>
      <c r="K158" t="s">
        <v>23</v>
      </c>
      <c r="L158" t="s">
        <v>8</v>
      </c>
      <c r="M158" t="s">
        <v>9</v>
      </c>
      <c r="N158" t="s">
        <v>434</v>
      </c>
      <c r="O158" s="3">
        <v>44534</v>
      </c>
      <c r="P158" t="s">
        <v>435</v>
      </c>
      <c r="Q158" s="3">
        <v>45124</v>
      </c>
      <c r="R158" t="s">
        <v>10</v>
      </c>
      <c r="S158" t="s">
        <v>11</v>
      </c>
      <c r="T158" t="s">
        <v>18</v>
      </c>
      <c r="U158">
        <v>1</v>
      </c>
      <c r="V158">
        <v>0</v>
      </c>
      <c r="W158">
        <v>1</v>
      </c>
      <c r="X158">
        <v>0</v>
      </c>
      <c r="Y158">
        <v>1</v>
      </c>
      <c r="Z158">
        <v>1</v>
      </c>
      <c r="AA158" s="1">
        <f>Z158/U158</f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783.96287536621105</v>
      </c>
      <c r="AP158">
        <v>119.835148903519</v>
      </c>
    </row>
    <row r="159" spans="1:42" x14ac:dyDescent="0.25">
      <c r="A159">
        <v>120</v>
      </c>
      <c r="B159" t="s">
        <v>440</v>
      </c>
      <c r="D159" s="4">
        <v>44204</v>
      </c>
      <c r="E159" s="5">
        <f>YEAR(D159)</f>
        <v>2021</v>
      </c>
      <c r="F159">
        <v>7.2434696385786507E-2</v>
      </c>
      <c r="G159" t="s">
        <v>441</v>
      </c>
      <c r="H159">
        <v>338778</v>
      </c>
      <c r="I159">
        <v>733449</v>
      </c>
      <c r="J159" t="s">
        <v>56</v>
      </c>
      <c r="K159" t="s">
        <v>36</v>
      </c>
      <c r="L159" t="s">
        <v>8</v>
      </c>
      <c r="M159" t="s">
        <v>9</v>
      </c>
      <c r="N159" t="s">
        <v>442</v>
      </c>
      <c r="O159" s="3">
        <v>45140</v>
      </c>
      <c r="P159" t="s">
        <v>443</v>
      </c>
      <c r="R159" t="s">
        <v>10</v>
      </c>
      <c r="S159" t="s">
        <v>11</v>
      </c>
      <c r="T159" t="s">
        <v>18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 s="1">
        <f>Z159/U159</f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724.34696960449196</v>
      </c>
      <c r="AP159">
        <v>108.40317247328601</v>
      </c>
    </row>
    <row r="160" spans="1:42" x14ac:dyDescent="0.25">
      <c r="A160">
        <v>121</v>
      </c>
      <c r="B160" t="s">
        <v>444</v>
      </c>
      <c r="D160" s="4">
        <v>44206</v>
      </c>
      <c r="E160" s="5">
        <f>YEAR(D160)</f>
        <v>2021</v>
      </c>
      <c r="F160">
        <v>2.1457521278546499E-2</v>
      </c>
      <c r="G160" t="s">
        <v>445</v>
      </c>
      <c r="H160">
        <v>339958</v>
      </c>
      <c r="I160">
        <v>731642</v>
      </c>
      <c r="J160" t="s">
        <v>56</v>
      </c>
      <c r="K160" t="s">
        <v>36</v>
      </c>
      <c r="L160" t="s">
        <v>8</v>
      </c>
      <c r="M160" t="s">
        <v>9</v>
      </c>
      <c r="N160" t="s">
        <v>446</v>
      </c>
      <c r="O160" s="3">
        <v>44490</v>
      </c>
      <c r="P160" t="s">
        <v>447</v>
      </c>
      <c r="R160" t="s">
        <v>10</v>
      </c>
      <c r="S160" t="s">
        <v>11</v>
      </c>
      <c r="T160" t="s">
        <v>18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 s="1">
        <f>Z160/U160</f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214.57521057128901</v>
      </c>
      <c r="AP160">
        <v>58.374895514995899</v>
      </c>
    </row>
    <row r="161" spans="1:42" x14ac:dyDescent="0.25">
      <c r="A161">
        <v>123</v>
      </c>
      <c r="B161" t="s">
        <v>451</v>
      </c>
      <c r="D161" s="4">
        <v>44429</v>
      </c>
      <c r="E161" s="5">
        <f>YEAR(D161)</f>
        <v>2021</v>
      </c>
      <c r="F161">
        <v>1.0331293539355401E-2</v>
      </c>
      <c r="G161" t="s">
        <v>452</v>
      </c>
      <c r="H161">
        <v>340245</v>
      </c>
      <c r="I161">
        <v>730375</v>
      </c>
      <c r="J161" t="s">
        <v>56</v>
      </c>
      <c r="K161" t="s">
        <v>36</v>
      </c>
      <c r="L161" t="s">
        <v>8</v>
      </c>
      <c r="M161" t="s">
        <v>9</v>
      </c>
      <c r="N161" t="s">
        <v>453</v>
      </c>
      <c r="O161" s="3">
        <v>44435</v>
      </c>
      <c r="R161" t="s">
        <v>10</v>
      </c>
      <c r="S161" t="s">
        <v>11</v>
      </c>
      <c r="T161" t="s">
        <v>18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 s="1">
        <f>Z161/U161</f>
        <v>0</v>
      </c>
      <c r="AB161">
        <v>4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103.312911987305</v>
      </c>
      <c r="AP161">
        <v>42.185908947991699</v>
      </c>
    </row>
    <row r="162" spans="1:42" x14ac:dyDescent="0.25">
      <c r="A162">
        <v>124</v>
      </c>
      <c r="B162" t="s">
        <v>454</v>
      </c>
      <c r="D162" s="4">
        <v>44208</v>
      </c>
      <c r="E162" s="5">
        <f>YEAR(D162)</f>
        <v>2021</v>
      </c>
      <c r="F162">
        <v>0.34847249441670702</v>
      </c>
      <c r="G162" t="s">
        <v>455</v>
      </c>
      <c r="H162">
        <v>343560</v>
      </c>
      <c r="I162">
        <v>731345</v>
      </c>
      <c r="J162" t="s">
        <v>56</v>
      </c>
      <c r="K162" t="s">
        <v>23</v>
      </c>
      <c r="L162" t="s">
        <v>46</v>
      </c>
      <c r="M162" t="s">
        <v>335</v>
      </c>
      <c r="N162" t="s">
        <v>456</v>
      </c>
      <c r="O162" s="3">
        <v>44544</v>
      </c>
      <c r="P162" t="s">
        <v>457</v>
      </c>
      <c r="Q162" s="3">
        <v>45163</v>
      </c>
      <c r="R162" t="s">
        <v>10</v>
      </c>
      <c r="S162" t="s">
        <v>11</v>
      </c>
      <c r="T162" t="s">
        <v>18</v>
      </c>
      <c r="U162">
        <v>1</v>
      </c>
      <c r="V162">
        <v>0</v>
      </c>
      <c r="W162">
        <v>1</v>
      </c>
      <c r="X162">
        <v>0</v>
      </c>
      <c r="Y162">
        <v>1</v>
      </c>
      <c r="Z162">
        <v>1</v>
      </c>
      <c r="AA162" s="1">
        <f>Z162/U162</f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1</v>
      </c>
      <c r="AO162">
        <v>3484.7249755859398</v>
      </c>
      <c r="AP162">
        <v>274.08323475152503</v>
      </c>
    </row>
    <row r="163" spans="1:42" x14ac:dyDescent="0.25">
      <c r="A163">
        <v>125</v>
      </c>
      <c r="B163" t="s">
        <v>458</v>
      </c>
      <c r="D163" s="4">
        <v>44204</v>
      </c>
      <c r="E163" s="5">
        <f>YEAR(D163)</f>
        <v>2021</v>
      </c>
      <c r="F163">
        <v>0.11464394132707501</v>
      </c>
      <c r="G163" t="s">
        <v>459</v>
      </c>
      <c r="H163">
        <v>345677</v>
      </c>
      <c r="I163">
        <v>731472</v>
      </c>
      <c r="J163" t="s">
        <v>56</v>
      </c>
      <c r="K163" t="s">
        <v>36</v>
      </c>
      <c r="L163" t="s">
        <v>8</v>
      </c>
      <c r="M163" t="s">
        <v>9</v>
      </c>
      <c r="N163" t="s">
        <v>460</v>
      </c>
      <c r="O163" s="3">
        <v>44428</v>
      </c>
      <c r="P163" t="s">
        <v>461</v>
      </c>
      <c r="R163" t="s">
        <v>10</v>
      </c>
      <c r="S163" t="s">
        <v>11</v>
      </c>
      <c r="T163" t="s">
        <v>18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 s="1">
        <f>Z163/U163</f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1146.4394226074201</v>
      </c>
      <c r="AP163">
        <v>155.99987192743501</v>
      </c>
    </row>
    <row r="164" spans="1:42" x14ac:dyDescent="0.25">
      <c r="A164">
        <v>126</v>
      </c>
      <c r="B164" t="s">
        <v>462</v>
      </c>
      <c r="D164" s="4">
        <v>44204</v>
      </c>
      <c r="E164" s="5">
        <f>YEAR(D164)</f>
        <v>2021</v>
      </c>
      <c r="F164">
        <v>5.6125411085404198E-2</v>
      </c>
      <c r="G164" t="s">
        <v>463</v>
      </c>
      <c r="H164">
        <v>339134</v>
      </c>
      <c r="I164">
        <v>733842</v>
      </c>
      <c r="J164" t="s">
        <v>56</v>
      </c>
      <c r="K164" t="s">
        <v>36</v>
      </c>
      <c r="L164" t="s">
        <v>8</v>
      </c>
      <c r="M164" t="s">
        <v>9</v>
      </c>
      <c r="N164" t="s">
        <v>464</v>
      </c>
      <c r="O164" s="3">
        <v>44425</v>
      </c>
      <c r="R164" t="s">
        <v>10</v>
      </c>
      <c r="S164" t="s">
        <v>11</v>
      </c>
      <c r="T164" t="s">
        <v>18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 s="1">
        <f>Z164/U164</f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561.25410461425804</v>
      </c>
      <c r="AP164">
        <v>93.175246498701796</v>
      </c>
    </row>
    <row r="165" spans="1:42" x14ac:dyDescent="0.25">
      <c r="A165">
        <v>130</v>
      </c>
      <c r="B165">
        <v>202305</v>
      </c>
      <c r="D165" s="4">
        <v>44888</v>
      </c>
      <c r="E165" s="5">
        <f>YEAR(D165)</f>
        <v>2022</v>
      </c>
      <c r="F165">
        <v>0.10384241819078199</v>
      </c>
      <c r="G165" t="s">
        <v>478</v>
      </c>
      <c r="H165">
        <v>346450</v>
      </c>
      <c r="I165">
        <v>732090</v>
      </c>
      <c r="J165" t="s">
        <v>56</v>
      </c>
      <c r="K165" t="s">
        <v>36</v>
      </c>
      <c r="L165" t="s">
        <v>8</v>
      </c>
      <c r="M165" t="s">
        <v>9</v>
      </c>
      <c r="N165" t="s">
        <v>479</v>
      </c>
      <c r="O165" s="3">
        <v>44888</v>
      </c>
      <c r="R165" t="s">
        <v>10</v>
      </c>
      <c r="S165" t="s">
        <v>11</v>
      </c>
      <c r="T165" t="s">
        <v>18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0</v>
      </c>
      <c r="AA165" s="1">
        <f>Z165/U165</f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1038.4241638183601</v>
      </c>
      <c r="AP165">
        <v>136.66995538779099</v>
      </c>
    </row>
    <row r="166" spans="1:42" x14ac:dyDescent="0.25">
      <c r="A166">
        <v>140</v>
      </c>
      <c r="B166">
        <v>202208</v>
      </c>
      <c r="D166" s="4">
        <v>44636</v>
      </c>
      <c r="E166" s="5">
        <f>YEAR(D166)</f>
        <v>2022</v>
      </c>
      <c r="F166">
        <v>4.15271130710494E-2</v>
      </c>
      <c r="G166" t="s">
        <v>508</v>
      </c>
      <c r="H166">
        <v>346229</v>
      </c>
      <c r="I166">
        <v>731308</v>
      </c>
      <c r="J166" t="s">
        <v>56</v>
      </c>
      <c r="K166" t="s">
        <v>36</v>
      </c>
      <c r="L166" t="s">
        <v>8</v>
      </c>
      <c r="M166" t="s">
        <v>9</v>
      </c>
      <c r="N166" t="s">
        <v>509</v>
      </c>
      <c r="O166" s="3">
        <v>44636</v>
      </c>
      <c r="R166" t="s">
        <v>10</v>
      </c>
      <c r="S166" t="s">
        <v>11</v>
      </c>
      <c r="T166" t="s">
        <v>18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 s="1">
        <f>Z166/U166</f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415.27114868164102</v>
      </c>
      <c r="AP166">
        <v>89.318661447758203</v>
      </c>
    </row>
    <row r="167" spans="1:42" x14ac:dyDescent="0.25">
      <c r="A167">
        <v>142</v>
      </c>
      <c r="B167">
        <v>202302</v>
      </c>
      <c r="D167" s="4">
        <v>44796</v>
      </c>
      <c r="E167" s="5">
        <f>YEAR(D167)</f>
        <v>2022</v>
      </c>
      <c r="F167">
        <v>0.108915452337638</v>
      </c>
      <c r="G167" t="s">
        <v>513</v>
      </c>
      <c r="H167">
        <v>345024</v>
      </c>
      <c r="I167">
        <v>731414</v>
      </c>
      <c r="J167" t="s">
        <v>56</v>
      </c>
      <c r="K167" t="s">
        <v>14</v>
      </c>
      <c r="L167" t="s">
        <v>8</v>
      </c>
      <c r="M167" t="s">
        <v>9</v>
      </c>
      <c r="N167" t="s">
        <v>514</v>
      </c>
      <c r="O167" s="3">
        <v>44796</v>
      </c>
      <c r="P167" t="s">
        <v>515</v>
      </c>
      <c r="R167" t="s">
        <v>10</v>
      </c>
      <c r="S167" t="s">
        <v>11</v>
      </c>
      <c r="T167" t="s">
        <v>18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 s="1">
        <f>Z167/U167</f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1089.1545715331999</v>
      </c>
      <c r="AP167">
        <v>150.78500520900499</v>
      </c>
    </row>
    <row r="168" spans="1:42" x14ac:dyDescent="0.25">
      <c r="A168">
        <v>144</v>
      </c>
      <c r="B168">
        <v>202304</v>
      </c>
      <c r="D168" s="4">
        <v>44845</v>
      </c>
      <c r="E168" s="5">
        <f>YEAR(D168)</f>
        <v>2022</v>
      </c>
      <c r="F168">
        <v>0.17793502999799801</v>
      </c>
      <c r="G168" t="s">
        <v>518</v>
      </c>
      <c r="H168">
        <v>346894</v>
      </c>
      <c r="I168">
        <v>731323</v>
      </c>
      <c r="J168" t="s">
        <v>56</v>
      </c>
      <c r="K168" t="s">
        <v>36</v>
      </c>
      <c r="L168" t="s">
        <v>8</v>
      </c>
      <c r="M168" t="s">
        <v>9</v>
      </c>
      <c r="N168" t="s">
        <v>519</v>
      </c>
      <c r="O168" s="3">
        <v>44845</v>
      </c>
      <c r="R168" t="s">
        <v>10</v>
      </c>
      <c r="S168" t="s">
        <v>11</v>
      </c>
      <c r="T168" t="s">
        <v>18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 s="1">
        <f>Z168/U168</f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1779.3502960205101</v>
      </c>
      <c r="AP168">
        <v>179.54407656604599</v>
      </c>
    </row>
    <row r="169" spans="1:42" x14ac:dyDescent="0.25">
      <c r="A169">
        <v>145</v>
      </c>
      <c r="B169">
        <v>202306</v>
      </c>
      <c r="D169" s="4">
        <v>44890</v>
      </c>
      <c r="E169" s="5">
        <f>YEAR(D169)</f>
        <v>2022</v>
      </c>
      <c r="F169">
        <v>3.0119966076834599E-2</v>
      </c>
      <c r="G169" t="s">
        <v>520</v>
      </c>
      <c r="H169">
        <v>338288</v>
      </c>
      <c r="I169">
        <v>733486</v>
      </c>
      <c r="J169" t="s">
        <v>56</v>
      </c>
      <c r="K169" t="s">
        <v>36</v>
      </c>
      <c r="L169" t="s">
        <v>8</v>
      </c>
      <c r="M169" t="s">
        <v>9</v>
      </c>
      <c r="N169" t="s">
        <v>521</v>
      </c>
      <c r="O169" s="3">
        <v>44890</v>
      </c>
      <c r="R169" t="s">
        <v>10</v>
      </c>
      <c r="S169" t="s">
        <v>11</v>
      </c>
      <c r="T169" t="s">
        <v>18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 s="1">
        <f>Z169/U169</f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301.19964599609398</v>
      </c>
      <c r="AP169">
        <v>70.230293130039001</v>
      </c>
    </row>
    <row r="170" spans="1:42" x14ac:dyDescent="0.25">
      <c r="A170">
        <v>150</v>
      </c>
      <c r="B170">
        <v>202311</v>
      </c>
      <c r="D170" s="4">
        <v>45141</v>
      </c>
      <c r="E170" s="5">
        <f>YEAR(D170)</f>
        <v>2023</v>
      </c>
      <c r="F170">
        <v>2.0024929999235701E-2</v>
      </c>
      <c r="G170" t="s">
        <v>532</v>
      </c>
      <c r="H170">
        <v>338908</v>
      </c>
      <c r="I170">
        <v>730689</v>
      </c>
      <c r="J170" t="s">
        <v>56</v>
      </c>
      <c r="K170" t="s">
        <v>14</v>
      </c>
      <c r="L170" t="s">
        <v>8</v>
      </c>
      <c r="M170" t="s">
        <v>9</v>
      </c>
      <c r="N170" t="s">
        <v>533</v>
      </c>
      <c r="O170" s="3">
        <v>45141</v>
      </c>
      <c r="P170" t="s">
        <v>534</v>
      </c>
      <c r="R170" t="s">
        <v>10</v>
      </c>
      <c r="S170" t="s">
        <v>11</v>
      </c>
      <c r="T170" t="s">
        <v>18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 s="1">
        <f>Z170/U170</f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200.24932861328099</v>
      </c>
      <c r="AP170">
        <v>68.0059184560548</v>
      </c>
    </row>
    <row r="171" spans="1:42" x14ac:dyDescent="0.25">
      <c r="A171">
        <v>151</v>
      </c>
      <c r="B171">
        <v>202313</v>
      </c>
      <c r="D171" s="4">
        <v>45016</v>
      </c>
      <c r="E171" s="5">
        <f>YEAR(D171)</f>
        <v>2023</v>
      </c>
      <c r="F171">
        <v>0.28447622943124001</v>
      </c>
      <c r="G171" t="s">
        <v>535</v>
      </c>
      <c r="H171">
        <v>333577</v>
      </c>
      <c r="I171">
        <v>732048</v>
      </c>
      <c r="J171" t="s">
        <v>56</v>
      </c>
      <c r="K171" t="s">
        <v>36</v>
      </c>
      <c r="L171" t="s">
        <v>8</v>
      </c>
      <c r="M171" t="s">
        <v>9</v>
      </c>
      <c r="N171" t="s">
        <v>536</v>
      </c>
      <c r="O171" s="3">
        <v>45016</v>
      </c>
      <c r="R171" t="s">
        <v>74</v>
      </c>
      <c r="S171" t="s">
        <v>11</v>
      </c>
      <c r="T171" t="s">
        <v>18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 s="1">
        <f>Z171/U171</f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2844.7622985839798</v>
      </c>
      <c r="AP171">
        <v>238.34747237074001</v>
      </c>
    </row>
    <row r="172" spans="1:42" x14ac:dyDescent="0.25">
      <c r="A172">
        <v>157</v>
      </c>
      <c r="B172">
        <v>202405</v>
      </c>
      <c r="D172" s="4">
        <v>45351</v>
      </c>
      <c r="E172" s="5">
        <f>YEAR(D172)</f>
        <v>2024</v>
      </c>
      <c r="F172">
        <v>1.2525693887706701E-2</v>
      </c>
      <c r="G172" t="s">
        <v>553</v>
      </c>
      <c r="H172">
        <v>340205</v>
      </c>
      <c r="I172">
        <v>730599</v>
      </c>
      <c r="J172" t="s">
        <v>56</v>
      </c>
      <c r="K172" t="s">
        <v>36</v>
      </c>
      <c r="L172" t="s">
        <v>8</v>
      </c>
      <c r="M172" t="s">
        <v>9</v>
      </c>
      <c r="N172" t="s">
        <v>554</v>
      </c>
      <c r="O172" s="3">
        <v>45351</v>
      </c>
      <c r="R172" t="s">
        <v>10</v>
      </c>
      <c r="S172" t="s">
        <v>11</v>
      </c>
      <c r="T172" t="s">
        <v>18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 s="1">
        <f>Z172/U172</f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O172">
        <v>125.256942749023</v>
      </c>
      <c r="AP172">
        <v>46.608041650361898</v>
      </c>
    </row>
    <row r="173" spans="1:42" x14ac:dyDescent="0.25">
      <c r="A173">
        <v>158</v>
      </c>
      <c r="B173">
        <v>202402</v>
      </c>
      <c r="D173" s="4">
        <v>45627</v>
      </c>
      <c r="E173" s="5">
        <f>YEAR(D173)</f>
        <v>2024</v>
      </c>
      <c r="F173">
        <v>1.1603429469049501E-2</v>
      </c>
      <c r="G173" t="s">
        <v>555</v>
      </c>
      <c r="H173">
        <v>340141</v>
      </c>
      <c r="I173">
        <v>730567</v>
      </c>
      <c r="J173" t="s">
        <v>56</v>
      </c>
      <c r="K173" t="s">
        <v>36</v>
      </c>
      <c r="L173" t="s">
        <v>8</v>
      </c>
      <c r="M173" t="s">
        <v>9</v>
      </c>
      <c r="N173" t="s">
        <v>556</v>
      </c>
      <c r="O173" s="3">
        <v>45627</v>
      </c>
      <c r="R173" t="s">
        <v>10</v>
      </c>
      <c r="S173" t="s">
        <v>11</v>
      </c>
      <c r="T173" t="s">
        <v>18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 s="1">
        <f>Z173/U173</f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O173">
        <v>116.034317016602</v>
      </c>
      <c r="AP173">
        <v>44.981216635632599</v>
      </c>
    </row>
    <row r="174" spans="1:42" x14ac:dyDescent="0.25">
      <c r="A174">
        <v>159</v>
      </c>
      <c r="B174">
        <v>202326</v>
      </c>
      <c r="D174" s="4">
        <v>45281</v>
      </c>
      <c r="E174" s="5">
        <f>YEAR(D174)</f>
        <v>2023</v>
      </c>
      <c r="F174">
        <v>1.74965954500656E-2</v>
      </c>
      <c r="G174" t="s">
        <v>557</v>
      </c>
      <c r="H174">
        <v>340204</v>
      </c>
      <c r="I174">
        <v>730611</v>
      </c>
      <c r="J174" t="s">
        <v>56</v>
      </c>
      <c r="K174" t="s">
        <v>36</v>
      </c>
      <c r="L174" t="s">
        <v>558</v>
      </c>
      <c r="M174" t="s">
        <v>9</v>
      </c>
      <c r="N174" t="s">
        <v>559</v>
      </c>
      <c r="O174" s="3">
        <v>45281</v>
      </c>
      <c r="R174" t="s">
        <v>10</v>
      </c>
      <c r="S174" t="s">
        <v>11</v>
      </c>
      <c r="T174" t="s">
        <v>18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 s="1">
        <f>Z174/U174</f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O174">
        <v>174.96595764160199</v>
      </c>
      <c r="AP174">
        <v>65.908385662393101</v>
      </c>
    </row>
    <row r="175" spans="1:42" x14ac:dyDescent="0.25">
      <c r="A175">
        <v>160</v>
      </c>
      <c r="B175">
        <v>202404</v>
      </c>
      <c r="D175" s="4">
        <v>45414</v>
      </c>
      <c r="E175" s="5">
        <f>YEAR(D175)</f>
        <v>2024</v>
      </c>
      <c r="F175">
        <v>0.31681626091734499</v>
      </c>
      <c r="G175" t="s">
        <v>560</v>
      </c>
      <c r="H175">
        <v>336752</v>
      </c>
      <c r="I175">
        <v>730030</v>
      </c>
      <c r="J175" t="s">
        <v>56</v>
      </c>
      <c r="K175" t="s">
        <v>36</v>
      </c>
      <c r="L175" t="s">
        <v>8</v>
      </c>
      <c r="M175" t="s">
        <v>9</v>
      </c>
      <c r="N175" t="s">
        <v>561</v>
      </c>
      <c r="O175" s="3">
        <v>45414</v>
      </c>
      <c r="R175" t="s">
        <v>10</v>
      </c>
      <c r="S175" t="s">
        <v>11</v>
      </c>
      <c r="T175" t="s">
        <v>18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 s="1">
        <f>Z175/U175</f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O175">
        <v>3168.1626739501999</v>
      </c>
      <c r="AP175">
        <v>452.280802669504</v>
      </c>
    </row>
    <row r="176" spans="1:42" x14ac:dyDescent="0.25">
      <c r="A176">
        <v>162</v>
      </c>
      <c r="B176">
        <v>202325</v>
      </c>
      <c r="D176" s="4">
        <v>45253</v>
      </c>
      <c r="E176" s="5">
        <f>YEAR(D176)</f>
        <v>2023</v>
      </c>
      <c r="F176">
        <v>1.41481160907675E-2</v>
      </c>
      <c r="G176" t="s">
        <v>565</v>
      </c>
      <c r="H176">
        <v>340216</v>
      </c>
      <c r="I176">
        <v>730603</v>
      </c>
      <c r="J176" t="s">
        <v>56</v>
      </c>
      <c r="K176" t="s">
        <v>36</v>
      </c>
      <c r="L176" t="s">
        <v>558</v>
      </c>
      <c r="M176" t="s">
        <v>9</v>
      </c>
      <c r="N176" t="s">
        <v>566</v>
      </c>
      <c r="O176" s="3">
        <v>45253</v>
      </c>
      <c r="P176" t="s">
        <v>567</v>
      </c>
      <c r="R176" t="s">
        <v>10</v>
      </c>
      <c r="S176" t="s">
        <v>11</v>
      </c>
      <c r="T176" t="s">
        <v>18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 s="1">
        <f>Z176/U176</f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O176">
        <v>141.48114013671901</v>
      </c>
      <c r="AP176">
        <v>52.166485040341001</v>
      </c>
    </row>
    <row r="177" spans="1:42" x14ac:dyDescent="0.25">
      <c r="A177">
        <v>163</v>
      </c>
      <c r="B177">
        <v>202327</v>
      </c>
      <c r="D177" s="4">
        <v>45281</v>
      </c>
      <c r="E177" s="5">
        <f>YEAR(D177)</f>
        <v>2023</v>
      </c>
      <c r="F177">
        <v>1.4136677455505399E-2</v>
      </c>
      <c r="G177" t="s">
        <v>568</v>
      </c>
      <c r="H177">
        <v>340216</v>
      </c>
      <c r="I177">
        <v>730603</v>
      </c>
      <c r="J177" t="s">
        <v>56</v>
      </c>
      <c r="K177" t="s">
        <v>36</v>
      </c>
      <c r="L177" t="s">
        <v>558</v>
      </c>
      <c r="M177" t="s">
        <v>9</v>
      </c>
      <c r="N177" t="s">
        <v>569</v>
      </c>
      <c r="O177" s="3">
        <v>45281</v>
      </c>
      <c r="P177" t="s">
        <v>570</v>
      </c>
      <c r="R177" t="s">
        <v>10</v>
      </c>
      <c r="S177" t="s">
        <v>11</v>
      </c>
      <c r="T177" t="s">
        <v>18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 s="1">
        <f>Z177/U177</f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O177">
        <v>141.36679077148401</v>
      </c>
      <c r="AP177">
        <v>52.166860346502702</v>
      </c>
    </row>
    <row r="178" spans="1:42" x14ac:dyDescent="0.25">
      <c r="A178">
        <v>166</v>
      </c>
      <c r="B178">
        <v>202407</v>
      </c>
      <c r="D178" s="4">
        <v>45371</v>
      </c>
      <c r="E178" s="5">
        <f>YEAR(D178)</f>
        <v>2024</v>
      </c>
      <c r="F178">
        <v>0.133380249194789</v>
      </c>
      <c r="G178" t="s">
        <v>577</v>
      </c>
      <c r="H178">
        <v>344360</v>
      </c>
      <c r="I178">
        <v>731160</v>
      </c>
      <c r="J178" t="s">
        <v>56</v>
      </c>
      <c r="K178" t="s">
        <v>36</v>
      </c>
      <c r="L178" t="s">
        <v>8</v>
      </c>
      <c r="M178" t="s">
        <v>9</v>
      </c>
      <c r="N178" t="s">
        <v>578</v>
      </c>
      <c r="O178" s="3">
        <v>45371</v>
      </c>
      <c r="R178" t="s">
        <v>74</v>
      </c>
      <c r="S178" t="s">
        <v>11</v>
      </c>
      <c r="T178" t="s">
        <v>18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 s="1">
        <f>Z178/U178</f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O178">
        <v>1333.8025207519499</v>
      </c>
      <c r="AP178">
        <v>149.949412541708</v>
      </c>
    </row>
    <row r="179" spans="1:42" x14ac:dyDescent="0.25">
      <c r="A179">
        <v>169</v>
      </c>
      <c r="B179">
        <v>202318</v>
      </c>
      <c r="D179" s="4">
        <v>45138</v>
      </c>
      <c r="E179" s="5">
        <f>YEAR(D179)</f>
        <v>2023</v>
      </c>
      <c r="F179">
        <v>7.7226592003015503E-3</v>
      </c>
      <c r="G179" t="s">
        <v>583</v>
      </c>
      <c r="H179">
        <v>340211</v>
      </c>
      <c r="I179">
        <v>730614</v>
      </c>
      <c r="J179" t="s">
        <v>56</v>
      </c>
      <c r="K179" t="s">
        <v>36</v>
      </c>
      <c r="L179" t="s">
        <v>558</v>
      </c>
      <c r="M179" t="s">
        <v>9</v>
      </c>
      <c r="N179" t="s">
        <v>584</v>
      </c>
      <c r="O179" s="3">
        <v>45138</v>
      </c>
      <c r="R179" t="s">
        <v>10</v>
      </c>
      <c r="S179" t="s">
        <v>11</v>
      </c>
      <c r="T179" t="s">
        <v>18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 s="1">
        <f>Z179/U179</f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O179">
        <v>77.226608276367202</v>
      </c>
      <c r="AP179">
        <v>38.813728984187499</v>
      </c>
    </row>
    <row r="180" spans="1:42" x14ac:dyDescent="0.25">
      <c r="A180">
        <v>170</v>
      </c>
      <c r="B180">
        <v>202317</v>
      </c>
      <c r="D180" s="4">
        <v>45135</v>
      </c>
      <c r="E180" s="5">
        <f>YEAR(D180)</f>
        <v>2023</v>
      </c>
      <c r="F180">
        <v>4.0554276958288601E-3</v>
      </c>
      <c r="G180" t="s">
        <v>585</v>
      </c>
      <c r="H180">
        <v>338740</v>
      </c>
      <c r="I180">
        <v>730664</v>
      </c>
      <c r="J180" t="s">
        <v>56</v>
      </c>
      <c r="K180" t="s">
        <v>36</v>
      </c>
      <c r="L180" t="s">
        <v>8</v>
      </c>
      <c r="M180" t="s">
        <v>9</v>
      </c>
      <c r="N180" t="s">
        <v>586</v>
      </c>
      <c r="O180" s="3">
        <v>45135</v>
      </c>
      <c r="P180" t="s">
        <v>587</v>
      </c>
      <c r="R180" t="s">
        <v>10</v>
      </c>
      <c r="S180" t="s">
        <v>11</v>
      </c>
      <c r="T180" t="s">
        <v>18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 s="1">
        <f>Z180/U180</f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O180">
        <v>40.5542602539063</v>
      </c>
      <c r="AP180">
        <v>27.979364722904698</v>
      </c>
    </row>
    <row r="181" spans="1:42" x14ac:dyDescent="0.25">
      <c r="A181">
        <v>171</v>
      </c>
      <c r="B181">
        <v>202316</v>
      </c>
      <c r="D181" s="4">
        <v>45128</v>
      </c>
      <c r="E181" s="5">
        <f>YEAR(D181)</f>
        <v>2023</v>
      </c>
      <c r="F181">
        <v>8.5897913524358993E-2</v>
      </c>
      <c r="G181" t="s">
        <v>588</v>
      </c>
      <c r="H181">
        <v>344271</v>
      </c>
      <c r="I181">
        <v>731367</v>
      </c>
      <c r="J181" t="s">
        <v>56</v>
      </c>
      <c r="K181" t="s">
        <v>14</v>
      </c>
      <c r="L181" t="s">
        <v>8</v>
      </c>
      <c r="M181" t="s">
        <v>9</v>
      </c>
      <c r="N181" t="s">
        <v>589</v>
      </c>
      <c r="O181" s="3">
        <v>45128</v>
      </c>
      <c r="P181" t="s">
        <v>590</v>
      </c>
      <c r="R181" t="s">
        <v>10</v>
      </c>
      <c r="S181" t="s">
        <v>11</v>
      </c>
      <c r="T181" t="s">
        <v>18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 s="1">
        <f>Z181/U181</f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O181">
        <v>858.97911071777298</v>
      </c>
      <c r="AP181">
        <v>174.70747064184499</v>
      </c>
    </row>
    <row r="182" spans="1:42" x14ac:dyDescent="0.25">
      <c r="A182">
        <v>175</v>
      </c>
      <c r="B182">
        <v>202321</v>
      </c>
      <c r="D182" s="4">
        <v>45207</v>
      </c>
      <c r="E182" s="5">
        <f>YEAR(D182)</f>
        <v>2023</v>
      </c>
      <c r="F182">
        <v>3.1726485937886399E-2</v>
      </c>
      <c r="G182" t="s">
        <v>597</v>
      </c>
      <c r="H182">
        <v>340809</v>
      </c>
      <c r="I182">
        <v>732504</v>
      </c>
      <c r="J182" t="s">
        <v>56</v>
      </c>
      <c r="K182" t="s">
        <v>36</v>
      </c>
      <c r="L182" t="s">
        <v>8</v>
      </c>
      <c r="M182" t="s">
        <v>9</v>
      </c>
      <c r="N182" t="s">
        <v>598</v>
      </c>
      <c r="O182" s="3">
        <v>45207</v>
      </c>
      <c r="R182" t="s">
        <v>10</v>
      </c>
      <c r="S182" t="s">
        <v>11</v>
      </c>
      <c r="T182" t="s">
        <v>18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 s="1">
        <f>Z182/U182</f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O182">
        <v>317.26486206054699</v>
      </c>
      <c r="AP182">
        <v>76.764214156707396</v>
      </c>
    </row>
    <row r="183" spans="1:42" x14ac:dyDescent="0.25">
      <c r="A183">
        <v>176</v>
      </c>
      <c r="B183">
        <v>202406</v>
      </c>
      <c r="D183" s="4">
        <v>45366</v>
      </c>
      <c r="E183" s="5">
        <f>YEAR(D183)</f>
        <v>2024</v>
      </c>
      <c r="F183">
        <v>3.55160999999386E-2</v>
      </c>
      <c r="G183" t="s">
        <v>599</v>
      </c>
      <c r="H183">
        <v>344544</v>
      </c>
      <c r="I183">
        <v>731906</v>
      </c>
      <c r="J183" t="s">
        <v>56</v>
      </c>
      <c r="K183" t="s">
        <v>36</v>
      </c>
      <c r="L183" t="s">
        <v>8</v>
      </c>
      <c r="M183" t="s">
        <v>9</v>
      </c>
      <c r="N183" t="s">
        <v>600</v>
      </c>
      <c r="O183" s="3">
        <v>45366</v>
      </c>
      <c r="R183" t="s">
        <v>10</v>
      </c>
      <c r="S183" t="s">
        <v>11</v>
      </c>
      <c r="T183" t="s">
        <v>18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 s="1">
        <f>Z183/U183</f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355.16105651855497</v>
      </c>
      <c r="AP183">
        <v>74.504129181987807</v>
      </c>
    </row>
    <row r="184" spans="1:42" x14ac:dyDescent="0.25">
      <c r="A184">
        <v>184</v>
      </c>
      <c r="B184">
        <v>202215</v>
      </c>
      <c r="D184" s="4">
        <v>44802</v>
      </c>
      <c r="E184" s="5">
        <f>YEAR(D184)</f>
        <v>2022</v>
      </c>
      <c r="F184">
        <v>0.13201619809715801</v>
      </c>
      <c r="G184" t="s">
        <v>632</v>
      </c>
      <c r="H184">
        <v>338960</v>
      </c>
      <c r="I184">
        <v>733333</v>
      </c>
      <c r="J184" t="s">
        <v>56</v>
      </c>
      <c r="K184" t="s">
        <v>23</v>
      </c>
      <c r="L184" t="s">
        <v>8</v>
      </c>
      <c r="M184" t="s">
        <v>9</v>
      </c>
      <c r="N184" t="s">
        <v>633</v>
      </c>
      <c r="O184" s="3">
        <v>44802</v>
      </c>
      <c r="P184" t="s">
        <v>634</v>
      </c>
      <c r="Q184" s="3">
        <v>45366</v>
      </c>
      <c r="R184" t="s">
        <v>10</v>
      </c>
      <c r="S184" t="s">
        <v>11</v>
      </c>
      <c r="T184" t="s">
        <v>18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1</v>
      </c>
      <c r="AA184" s="1">
        <f>Z184/U184</f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1320.1619567871101</v>
      </c>
      <c r="AP184">
        <v>155.163120658916</v>
      </c>
    </row>
    <row r="185" spans="1:42" x14ac:dyDescent="0.25">
      <c r="Y185"/>
      <c r="Z185" s="1"/>
    </row>
  </sheetData>
  <phoneticPr fontId="18" type="noConversion"/>
  <conditionalFormatting sqref="F2:F184 G185">
    <cfRule type="colorScale" priority="7">
      <colorScale>
        <cfvo type="min"/>
        <cfvo type="max"/>
        <color rgb="FFFCFCFF"/>
        <color theme="3" tint="0.499984740745262"/>
      </colorScale>
    </cfRule>
  </conditionalFormatting>
  <conditionalFormatting sqref="J1:J184">
    <cfRule type="cellIs" dxfId="1" priority="3" operator="equal">
      <formula>"Effective"</formula>
    </cfRule>
    <cfRule type="cellIs" dxfId="0" priority="4" operator="equal">
      <formula>"Constrained"</formula>
    </cfRule>
  </conditionalFormatting>
  <conditionalFormatting sqref="Z186:Z1048576 AB1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2:AA184 Z185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:AB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A652-6B19-40CD-82D3-2ED1B1EDA99F}">
  <dimension ref="A1:D21"/>
  <sheetViews>
    <sheetView zoomScale="115" zoomScaleNormal="115" workbookViewId="0">
      <selection activeCell="O24" sqref="O24"/>
    </sheetView>
  </sheetViews>
  <sheetFormatPr defaultRowHeight="15" x14ac:dyDescent="0.25"/>
  <cols>
    <col min="1" max="3" width="12.5703125" customWidth="1"/>
    <col min="4" max="4" width="11.28515625" bestFit="1" customWidth="1"/>
    <col min="5" max="184" width="9.7109375" bestFit="1" customWidth="1"/>
    <col min="185" max="185" width="11.28515625" bestFit="1" customWidth="1"/>
  </cols>
  <sheetData>
    <row r="1" spans="1:3" x14ac:dyDescent="0.25">
      <c r="A1" t="s">
        <v>673</v>
      </c>
      <c r="B1" t="s">
        <v>671</v>
      </c>
      <c r="C1" t="s">
        <v>672</v>
      </c>
    </row>
    <row r="2" spans="1:3" x14ac:dyDescent="0.25">
      <c r="A2">
        <f>COUNTA('HousingLandAudit23_24_-70490818'!A:A)</f>
        <v>184</v>
      </c>
      <c r="B2">
        <f>COUNTIF('HousingLandAudit23_24_-70490818'!$AA:$AA,100%)</f>
        <v>22</v>
      </c>
      <c r="C2">
        <f>A2-B2</f>
        <v>162</v>
      </c>
    </row>
    <row r="3" spans="1:3" x14ac:dyDescent="0.25">
      <c r="B3" s="2">
        <f>B2/A2</f>
        <v>0.11956521739130435</v>
      </c>
      <c r="C3" s="2">
        <f>C2/A2</f>
        <v>0.88043478260869568</v>
      </c>
    </row>
    <row r="10" spans="1:3" x14ac:dyDescent="0.25">
      <c r="A10" t="s">
        <v>674</v>
      </c>
      <c r="B10" t="s">
        <v>675</v>
      </c>
    </row>
    <row r="11" spans="1:3" x14ac:dyDescent="0.25">
      <c r="A11" t="s">
        <v>10</v>
      </c>
      <c r="B11">
        <f>COUNTIF('HousingLandAudit23_24_-70490818'!R:R,"Brownfield")</f>
        <v>169</v>
      </c>
    </row>
    <row r="12" spans="1:3" x14ac:dyDescent="0.25">
      <c r="A12" t="s">
        <v>74</v>
      </c>
      <c r="B12">
        <f>COUNTIF('HousingLandAudit23_24_-70490818'!R:R,"Greenfield")</f>
        <v>14</v>
      </c>
    </row>
    <row r="17" spans="1:4" x14ac:dyDescent="0.25">
      <c r="A17" s="7" t="s">
        <v>677</v>
      </c>
      <c r="B17" s="7" t="s">
        <v>638</v>
      </c>
    </row>
    <row r="18" spans="1:4" x14ac:dyDescent="0.25">
      <c r="A18" s="7" t="s">
        <v>642</v>
      </c>
      <c r="B18" t="s">
        <v>10</v>
      </c>
      <c r="C18" t="s">
        <v>74</v>
      </c>
      <c r="D18" t="s">
        <v>678</v>
      </c>
    </row>
    <row r="19" spans="1:4" x14ac:dyDescent="0.25">
      <c r="A19" t="s">
        <v>7</v>
      </c>
      <c r="B19" s="6">
        <v>195</v>
      </c>
      <c r="C19" s="6">
        <v>86</v>
      </c>
      <c r="D19" s="6">
        <v>281</v>
      </c>
    </row>
    <row r="20" spans="1:4" x14ac:dyDescent="0.25">
      <c r="A20" t="s">
        <v>13</v>
      </c>
      <c r="B20" s="6">
        <v>3302</v>
      </c>
      <c r="C20" s="6">
        <v>1692</v>
      </c>
      <c r="D20" s="6">
        <v>4994</v>
      </c>
    </row>
    <row r="21" spans="1:4" x14ac:dyDescent="0.25">
      <c r="A21" t="s">
        <v>678</v>
      </c>
      <c r="B21" s="6">
        <v>3497</v>
      </c>
      <c r="C21" s="6">
        <v>1778</v>
      </c>
      <c r="D21" s="6">
        <v>5275</v>
      </c>
    </row>
  </sheetData>
  <conditionalFormatting sqref="B3:C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a24b87-f211-4043-bf53-20da71eed6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FDDEFF2B6E947AB84D9137B672FE0" ma:contentTypeVersion="8" ma:contentTypeDescription="Create a new document." ma:contentTypeScope="" ma:versionID="ec7ab6400937c7593c7aefc5a9329468">
  <xsd:schema xmlns:xsd="http://www.w3.org/2001/XMLSchema" xmlns:xs="http://www.w3.org/2001/XMLSchema" xmlns:p="http://schemas.microsoft.com/office/2006/metadata/properties" xmlns:ns3="0da24b87-f211-4043-bf53-20da71eed638" targetNamespace="http://schemas.microsoft.com/office/2006/metadata/properties" ma:root="true" ma:fieldsID="85127714cf66022813da3eb9ff51774e" ns3:_="">
    <xsd:import namespace="0da24b87-f211-4043-bf53-20da71eed6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24b87-f211-4043-bf53-20da71eed6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FB135C3-0746-40EF-9218-8C2F81271D0C}">
  <ds:schemaRefs>
    <ds:schemaRef ds:uri="http://www.w3.org/XML/1998/namespace"/>
    <ds:schemaRef ds:uri="0da24b87-f211-4043-bf53-20da71eed638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7FE2350-AB43-4BB9-8C9A-F586B66E20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31F954-D049-4754-AA6E-891193A0A1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a24b87-f211-4043-bf53-20da71eed6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7B913A-E05B-4C38-94C9-421752C8B7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HousingLandAudit23_24_-70490818</vt:lpstr>
      <vt:lpstr>charts&amp;stats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 Martin (Student)</cp:lastModifiedBy>
  <dcterms:created xsi:type="dcterms:W3CDTF">2025-10-25T10:03:40Z</dcterms:created>
  <dcterms:modified xsi:type="dcterms:W3CDTF">2025-10-26T20:08:33Z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0x0101008FBFDDEFF2B6E947AB84D9137B672FE0</vt:lpwstr>
  </property>
</Properties>
</file>